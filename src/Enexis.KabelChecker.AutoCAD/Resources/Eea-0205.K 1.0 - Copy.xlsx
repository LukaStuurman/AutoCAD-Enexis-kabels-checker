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hdbtechbase.sharepoint.com/sites/Techbase/Gedeelde documenten/Tekenkamer/Techbase WES/7. Bestekken/Enexis/Kaders 1.0 (2024)/"/>
    </mc:Choice>
  </mc:AlternateContent>
  <xr:revisionPtr revIDLastSave="1430" documentId="13_ncr:1_{75D9C9DD-C987-480E-9F26-DB65CEFDDC08}" xr6:coauthVersionLast="47" xr6:coauthVersionMax="47" xr10:uidLastSave="{7273DC7B-A06B-4CB4-9A38-967349DE6DD3}"/>
  <bookViews>
    <workbookView xWindow="-28920" yWindow="-120" windowWidth="29040" windowHeight="15720" xr2:uid="{B7A881E3-F0DF-446A-A40E-6F4020F62436}"/>
  </bookViews>
  <sheets>
    <sheet name="Ontwerpstroom_trafo" sheetId="1" r:id="rId1"/>
    <sheet name="Ontwerpstroom_kabel" sheetId="10" r:id="rId2"/>
    <sheet name="Ontwerpstroom_stijgleiding" sheetId="11" r:id="rId3"/>
    <sheet name="Controle_kabel_evenredig" sheetId="8" r:id="rId4"/>
    <sheet name="Controle_kabel_laatste_helft" sheetId="7"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4" i="1" l="1"/>
  <c r="E18" i="1"/>
  <c r="D14" i="11"/>
  <c r="E14" i="11"/>
  <c r="D15" i="11"/>
  <c r="E15" i="11"/>
  <c r="E32" i="10"/>
  <c r="F32" i="10"/>
  <c r="G32" i="10"/>
  <c r="H32" i="10"/>
  <c r="E27" i="10"/>
  <c r="F27" i="10"/>
  <c r="G27" i="10"/>
  <c r="H27" i="10"/>
  <c r="E28" i="10"/>
  <c r="F28" i="10"/>
  <c r="G28" i="10"/>
  <c r="H28" i="10"/>
  <c r="E32" i="1"/>
  <c r="F32" i="1"/>
  <c r="G32" i="1"/>
  <c r="H32" i="1"/>
  <c r="E33" i="1"/>
  <c r="F33" i="1"/>
  <c r="G33" i="1"/>
  <c r="H33" i="1"/>
  <c r="E27" i="1"/>
  <c r="F27" i="1"/>
  <c r="G27" i="1"/>
  <c r="H27" i="1"/>
  <c r="E28" i="1"/>
  <c r="F28" i="1"/>
  <c r="G28" i="1"/>
  <c r="H28" i="1"/>
  <c r="D5" i="11"/>
  <c r="E16" i="11"/>
  <c r="D16" i="11"/>
  <c r="D11" i="11"/>
  <c r="E8" i="11"/>
  <c r="D8" i="11"/>
  <c r="E5" i="11"/>
  <c r="G5" i="10"/>
  <c r="H5" i="10"/>
  <c r="G6" i="10"/>
  <c r="H6" i="10"/>
  <c r="G7" i="10"/>
  <c r="H7" i="10"/>
  <c r="G8" i="10"/>
  <c r="H8" i="10"/>
  <c r="G11" i="10"/>
  <c r="H11" i="10"/>
  <c r="G12" i="10"/>
  <c r="H12" i="10"/>
  <c r="G13" i="10"/>
  <c r="H13" i="10"/>
  <c r="G14" i="10"/>
  <c r="H14" i="10"/>
  <c r="G17" i="10"/>
  <c r="G21" i="10"/>
  <c r="G29" i="10"/>
  <c r="H29" i="10"/>
  <c r="G33" i="10"/>
  <c r="H33" i="10"/>
  <c r="G36" i="10"/>
  <c r="E36" i="10"/>
  <c r="F33" i="10"/>
  <c r="E33" i="10"/>
  <c r="F29" i="10"/>
  <c r="E29" i="10"/>
  <c r="E24" i="10"/>
  <c r="E21" i="10"/>
  <c r="E18" i="10"/>
  <c r="E17" i="10"/>
  <c r="F14" i="10"/>
  <c r="E14" i="10"/>
  <c r="F13" i="10"/>
  <c r="E13" i="10"/>
  <c r="F12" i="10"/>
  <c r="E12" i="10"/>
  <c r="F11" i="10"/>
  <c r="E11" i="10"/>
  <c r="F8" i="10"/>
  <c r="E8" i="10"/>
  <c r="F7" i="10"/>
  <c r="E7" i="10"/>
  <c r="F6" i="10"/>
  <c r="E6" i="10"/>
  <c r="F5" i="10"/>
  <c r="E5" i="10"/>
  <c r="E36" i="1"/>
  <c r="E21" i="1"/>
  <c r="E17" i="1"/>
  <c r="F29" i="1"/>
  <c r="E29" i="1"/>
  <c r="F14" i="1"/>
  <c r="E14" i="1"/>
  <c r="F13" i="1"/>
  <c r="E13" i="1"/>
  <c r="F12" i="1"/>
  <c r="E12" i="1"/>
  <c r="F11" i="1"/>
  <c r="E11" i="1"/>
  <c r="E6" i="1"/>
  <c r="F6" i="1"/>
  <c r="E7" i="1"/>
  <c r="F7" i="1"/>
  <c r="E8" i="1"/>
  <c r="F8" i="1"/>
  <c r="F5" i="1"/>
  <c r="E5" i="1"/>
  <c r="G36" i="1"/>
  <c r="H29" i="1"/>
  <c r="H14" i="1"/>
  <c r="H13" i="1"/>
  <c r="H12" i="1"/>
  <c r="H11" i="1"/>
  <c r="H6" i="1"/>
  <c r="H7" i="1"/>
  <c r="H8" i="1"/>
  <c r="H5" i="1"/>
  <c r="G29" i="1"/>
  <c r="G21" i="1"/>
  <c r="G17" i="1"/>
  <c r="G12" i="1"/>
  <c r="G13" i="1"/>
  <c r="G14" i="1"/>
  <c r="G11" i="1"/>
  <c r="G6" i="1"/>
  <c r="G7" i="1"/>
  <c r="G8" i="1"/>
  <c r="G5" i="1"/>
  <c r="P59" i="8"/>
  <c r="O59" i="8"/>
  <c r="N59" i="8"/>
  <c r="M59" i="8"/>
  <c r="L59" i="8"/>
  <c r="P58" i="8"/>
  <c r="O58" i="8"/>
  <c r="N58" i="8"/>
  <c r="M58" i="8"/>
  <c r="P57" i="8"/>
  <c r="O57" i="8"/>
  <c r="N57" i="8"/>
  <c r="P56" i="8"/>
  <c r="O56" i="8"/>
  <c r="P55" i="8"/>
  <c r="P51" i="8"/>
  <c r="O51" i="8"/>
  <c r="N51" i="8"/>
  <c r="M51" i="8"/>
  <c r="L51" i="8"/>
  <c r="P50" i="8"/>
  <c r="O50" i="8"/>
  <c r="N50" i="8"/>
  <c r="M50" i="8"/>
  <c r="P49" i="8"/>
  <c r="O49" i="8"/>
  <c r="N49" i="8"/>
  <c r="P48" i="8"/>
  <c r="O48" i="8"/>
  <c r="N48" i="8"/>
  <c r="P47" i="8"/>
  <c r="O47" i="8"/>
  <c r="P46" i="8"/>
  <c r="K34" i="8"/>
  <c r="K59" i="8" s="1"/>
  <c r="J34" i="8"/>
  <c r="J59" i="8" s="1"/>
  <c r="G34" i="8"/>
  <c r="F34" i="8"/>
  <c r="E34" i="8"/>
  <c r="L33" i="8"/>
  <c r="L58" i="8" s="1"/>
  <c r="K33" i="8"/>
  <c r="K58" i="8" s="1"/>
  <c r="J33" i="8"/>
  <c r="J58" i="8" s="1"/>
  <c r="G33" i="8"/>
  <c r="F33" i="8"/>
  <c r="E33" i="8"/>
  <c r="M32" i="8"/>
  <c r="M57" i="8" s="1"/>
  <c r="L32" i="8"/>
  <c r="L57" i="8" s="1"/>
  <c r="K32" i="8"/>
  <c r="K57" i="8" s="1"/>
  <c r="J32" i="8"/>
  <c r="J57" i="8" s="1"/>
  <c r="G32" i="8"/>
  <c r="F32" i="8"/>
  <c r="E32" i="8"/>
  <c r="N31" i="8"/>
  <c r="N56" i="8" s="1"/>
  <c r="M31" i="8"/>
  <c r="M56" i="8" s="1"/>
  <c r="L31" i="8"/>
  <c r="L56" i="8" s="1"/>
  <c r="K31" i="8"/>
  <c r="K56" i="8" s="1"/>
  <c r="J31" i="8"/>
  <c r="J56" i="8" s="1"/>
  <c r="G31" i="8"/>
  <c r="F31" i="8"/>
  <c r="E31" i="8"/>
  <c r="O30" i="8"/>
  <c r="O55" i="8" s="1"/>
  <c r="N30" i="8"/>
  <c r="N55" i="8" s="1"/>
  <c r="M30" i="8"/>
  <c r="M55" i="8" s="1"/>
  <c r="L30" i="8"/>
  <c r="L55" i="8" s="1"/>
  <c r="K30" i="8"/>
  <c r="K55" i="8" s="1"/>
  <c r="J30" i="8"/>
  <c r="J55" i="8" s="1"/>
  <c r="G30" i="8"/>
  <c r="F30" i="8"/>
  <c r="E30" i="8"/>
  <c r="P29" i="8"/>
  <c r="P54" i="8" s="1"/>
  <c r="O29" i="8"/>
  <c r="O54" i="8" s="1"/>
  <c r="N29" i="8"/>
  <c r="N54" i="8" s="1"/>
  <c r="M29" i="8"/>
  <c r="M54" i="8" s="1"/>
  <c r="L29" i="8"/>
  <c r="L54" i="8" s="1"/>
  <c r="K29" i="8"/>
  <c r="K54" i="8" s="1"/>
  <c r="J29" i="8"/>
  <c r="J54" i="8" s="1"/>
  <c r="G29" i="8"/>
  <c r="F29" i="8"/>
  <c r="E29" i="8"/>
  <c r="P28" i="8"/>
  <c r="P53" i="8" s="1"/>
  <c r="O28" i="8"/>
  <c r="O53" i="8" s="1"/>
  <c r="N28" i="8"/>
  <c r="N53" i="8" s="1"/>
  <c r="M28" i="8"/>
  <c r="M53" i="8" s="1"/>
  <c r="L28" i="8"/>
  <c r="L53" i="8" s="1"/>
  <c r="K28" i="8"/>
  <c r="K53" i="8" s="1"/>
  <c r="J28" i="8"/>
  <c r="J53" i="8" s="1"/>
  <c r="G28" i="8"/>
  <c r="F28" i="8"/>
  <c r="E28" i="8"/>
  <c r="P27" i="8"/>
  <c r="P52" i="8" s="1"/>
  <c r="O27" i="8"/>
  <c r="O52" i="8" s="1"/>
  <c r="N27" i="8"/>
  <c r="N52" i="8" s="1"/>
  <c r="M27" i="8"/>
  <c r="M52" i="8" s="1"/>
  <c r="L27" i="8"/>
  <c r="L52" i="8" s="1"/>
  <c r="K27" i="8"/>
  <c r="K52" i="8" s="1"/>
  <c r="J27" i="8"/>
  <c r="J52" i="8" s="1"/>
  <c r="G27" i="8"/>
  <c r="F27" i="8"/>
  <c r="E27" i="8"/>
  <c r="K25" i="8"/>
  <c r="K51" i="8" s="1"/>
  <c r="J25" i="8"/>
  <c r="J51" i="8" s="1"/>
  <c r="G25" i="8"/>
  <c r="F25" i="8"/>
  <c r="E25" i="8"/>
  <c r="L24" i="8"/>
  <c r="L50" i="8" s="1"/>
  <c r="K24" i="8"/>
  <c r="K50" i="8" s="1"/>
  <c r="J24" i="8"/>
  <c r="J50" i="8" s="1"/>
  <c r="G24" i="8"/>
  <c r="F24" i="8"/>
  <c r="E24" i="8"/>
  <c r="M23" i="8"/>
  <c r="M49" i="8" s="1"/>
  <c r="L23" i="8"/>
  <c r="L49" i="8" s="1"/>
  <c r="K23" i="8"/>
  <c r="K49" i="8" s="1"/>
  <c r="J23" i="8"/>
  <c r="J49" i="8" s="1"/>
  <c r="G23" i="8"/>
  <c r="F23" i="8"/>
  <c r="E23" i="8"/>
  <c r="M22" i="8"/>
  <c r="M48" i="8" s="1"/>
  <c r="L22" i="8"/>
  <c r="L48" i="8" s="1"/>
  <c r="K22" i="8"/>
  <c r="K48" i="8" s="1"/>
  <c r="J22" i="8"/>
  <c r="J48" i="8" s="1"/>
  <c r="G22" i="8"/>
  <c r="F22" i="8"/>
  <c r="E22" i="8"/>
  <c r="N21" i="8"/>
  <c r="N47" i="8" s="1"/>
  <c r="M21" i="8"/>
  <c r="M47" i="8" s="1"/>
  <c r="L21" i="8"/>
  <c r="L47" i="8" s="1"/>
  <c r="K21" i="8"/>
  <c r="K47" i="8" s="1"/>
  <c r="J21" i="8"/>
  <c r="J47" i="8" s="1"/>
  <c r="F21" i="8"/>
  <c r="D21" i="8"/>
  <c r="E21" i="8" s="1"/>
  <c r="O20" i="8"/>
  <c r="O46" i="8" s="1"/>
  <c r="N20" i="8"/>
  <c r="N46" i="8" s="1"/>
  <c r="M20" i="8"/>
  <c r="M46" i="8" s="1"/>
  <c r="L20" i="8"/>
  <c r="L46" i="8" s="1"/>
  <c r="K20" i="8"/>
  <c r="K46" i="8" s="1"/>
  <c r="J20" i="8"/>
  <c r="J46" i="8" s="1"/>
  <c r="G20" i="8"/>
  <c r="F20" i="8"/>
  <c r="E20" i="8"/>
  <c r="P19" i="8"/>
  <c r="P45" i="8" s="1"/>
  <c r="O19" i="8"/>
  <c r="O45" i="8" s="1"/>
  <c r="N19" i="8"/>
  <c r="N45" i="8" s="1"/>
  <c r="M19" i="8"/>
  <c r="M45" i="8" s="1"/>
  <c r="L19" i="8"/>
  <c r="L45" i="8" s="1"/>
  <c r="K19" i="8"/>
  <c r="K45" i="8" s="1"/>
  <c r="J19" i="8"/>
  <c r="J45" i="8" s="1"/>
  <c r="G19" i="8"/>
  <c r="F19" i="8"/>
  <c r="E19" i="8"/>
  <c r="P18" i="8"/>
  <c r="P44" i="8" s="1"/>
  <c r="O18" i="8"/>
  <c r="O44" i="8" s="1"/>
  <c r="N18" i="8"/>
  <c r="N44" i="8" s="1"/>
  <c r="M18" i="8"/>
  <c r="M44" i="8" s="1"/>
  <c r="L18" i="8"/>
  <c r="L44" i="8" s="1"/>
  <c r="K18" i="8"/>
  <c r="K44" i="8" s="1"/>
  <c r="J18" i="8"/>
  <c r="J44" i="8" s="1"/>
  <c r="G18" i="8"/>
  <c r="F18" i="8"/>
  <c r="E18" i="8"/>
  <c r="P17" i="8"/>
  <c r="P43" i="8" s="1"/>
  <c r="O17" i="8"/>
  <c r="O43" i="8" s="1"/>
  <c r="N17" i="8"/>
  <c r="N43" i="8" s="1"/>
  <c r="M17" i="8"/>
  <c r="M43" i="8" s="1"/>
  <c r="L17" i="8"/>
  <c r="L43" i="8" s="1"/>
  <c r="K17" i="8"/>
  <c r="K43" i="8" s="1"/>
  <c r="J17" i="8"/>
  <c r="J43" i="8" s="1"/>
  <c r="G17" i="8"/>
  <c r="F17" i="8"/>
  <c r="E17" i="8"/>
  <c r="P59" i="7"/>
  <c r="O59" i="7"/>
  <c r="N59" i="7"/>
  <c r="M59" i="7"/>
  <c r="L59" i="7"/>
  <c r="P58" i="7"/>
  <c r="O58" i="7"/>
  <c r="N58" i="7"/>
  <c r="M58" i="7"/>
  <c r="P57" i="7"/>
  <c r="O57" i="7"/>
  <c r="N57" i="7"/>
  <c r="P56" i="7"/>
  <c r="O56" i="7"/>
  <c r="P55" i="7"/>
  <c r="P51" i="7"/>
  <c r="O51" i="7"/>
  <c r="N51" i="7"/>
  <c r="M51" i="7"/>
  <c r="L51" i="7"/>
  <c r="P50" i="7"/>
  <c r="O50" i="7"/>
  <c r="N50" i="7"/>
  <c r="M50" i="7"/>
  <c r="P49" i="7"/>
  <c r="O49" i="7"/>
  <c r="N49" i="7"/>
  <c r="P48" i="7"/>
  <c r="O48" i="7"/>
  <c r="N48" i="7"/>
  <c r="P47" i="7"/>
  <c r="O47" i="7"/>
  <c r="P46" i="7"/>
  <c r="K34" i="7"/>
  <c r="K59" i="7" s="1"/>
  <c r="J34" i="7"/>
  <c r="J59" i="7" s="1"/>
  <c r="G34" i="7"/>
  <c r="F34" i="7"/>
  <c r="E34" i="7"/>
  <c r="L33" i="7"/>
  <c r="L58" i="7" s="1"/>
  <c r="K33" i="7"/>
  <c r="K58" i="7" s="1"/>
  <c r="J33" i="7"/>
  <c r="J58" i="7" s="1"/>
  <c r="G33" i="7"/>
  <c r="F33" i="7"/>
  <c r="E33" i="7"/>
  <c r="M32" i="7"/>
  <c r="M57" i="7" s="1"/>
  <c r="L32" i="7"/>
  <c r="L57" i="7" s="1"/>
  <c r="K32" i="7"/>
  <c r="K57" i="7" s="1"/>
  <c r="J32" i="7"/>
  <c r="J57" i="7" s="1"/>
  <c r="G32" i="7"/>
  <c r="F32" i="7"/>
  <c r="E32" i="7"/>
  <c r="N31" i="7"/>
  <c r="N56" i="7" s="1"/>
  <c r="M31" i="7"/>
  <c r="M56" i="7" s="1"/>
  <c r="L31" i="7"/>
  <c r="L56" i="7" s="1"/>
  <c r="K31" i="7"/>
  <c r="K56" i="7" s="1"/>
  <c r="J31" i="7"/>
  <c r="J56" i="7" s="1"/>
  <c r="G31" i="7"/>
  <c r="F31" i="7"/>
  <c r="E31" i="7"/>
  <c r="O30" i="7"/>
  <c r="O55" i="7" s="1"/>
  <c r="N30" i="7"/>
  <c r="N55" i="7" s="1"/>
  <c r="M30" i="7"/>
  <c r="M55" i="7" s="1"/>
  <c r="L30" i="7"/>
  <c r="L55" i="7" s="1"/>
  <c r="K30" i="7"/>
  <c r="K55" i="7" s="1"/>
  <c r="J30" i="7"/>
  <c r="J55" i="7" s="1"/>
  <c r="G30" i="7"/>
  <c r="F30" i="7"/>
  <c r="E30" i="7"/>
  <c r="P29" i="7"/>
  <c r="P54" i="7" s="1"/>
  <c r="O29" i="7"/>
  <c r="O54" i="7" s="1"/>
  <c r="N29" i="7"/>
  <c r="N54" i="7" s="1"/>
  <c r="M29" i="7"/>
  <c r="M54" i="7" s="1"/>
  <c r="L29" i="7"/>
  <c r="L54" i="7" s="1"/>
  <c r="K29" i="7"/>
  <c r="K54" i="7" s="1"/>
  <c r="J29" i="7"/>
  <c r="J54" i="7" s="1"/>
  <c r="G29" i="7"/>
  <c r="F29" i="7"/>
  <c r="E29" i="7"/>
  <c r="P28" i="7"/>
  <c r="P53" i="7" s="1"/>
  <c r="O28" i="7"/>
  <c r="O53" i="7" s="1"/>
  <c r="N28" i="7"/>
  <c r="N53" i="7" s="1"/>
  <c r="M28" i="7"/>
  <c r="M53" i="7" s="1"/>
  <c r="L28" i="7"/>
  <c r="L53" i="7" s="1"/>
  <c r="K28" i="7"/>
  <c r="K53" i="7" s="1"/>
  <c r="J28" i="7"/>
  <c r="J53" i="7" s="1"/>
  <c r="G28" i="7"/>
  <c r="F28" i="7"/>
  <c r="E28" i="7"/>
  <c r="P27" i="7"/>
  <c r="P52" i="7" s="1"/>
  <c r="O27" i="7"/>
  <c r="O52" i="7" s="1"/>
  <c r="N27" i="7"/>
  <c r="N52" i="7" s="1"/>
  <c r="M27" i="7"/>
  <c r="M52" i="7" s="1"/>
  <c r="L27" i="7"/>
  <c r="L52" i="7" s="1"/>
  <c r="K27" i="7"/>
  <c r="K52" i="7" s="1"/>
  <c r="J27" i="7"/>
  <c r="J52" i="7" s="1"/>
  <c r="G27" i="7"/>
  <c r="F27" i="7"/>
  <c r="E27" i="7"/>
  <c r="K25" i="7"/>
  <c r="K51" i="7" s="1"/>
  <c r="J25" i="7"/>
  <c r="J51" i="7" s="1"/>
  <c r="G25" i="7"/>
  <c r="F25" i="7"/>
  <c r="E25" i="7"/>
  <c r="L24" i="7"/>
  <c r="L50" i="7" s="1"/>
  <c r="K24" i="7"/>
  <c r="K50" i="7" s="1"/>
  <c r="J24" i="7"/>
  <c r="J50" i="7" s="1"/>
  <c r="G24" i="7"/>
  <c r="F24" i="7"/>
  <c r="E24" i="7"/>
  <c r="M23" i="7"/>
  <c r="M49" i="7" s="1"/>
  <c r="L23" i="7"/>
  <c r="L49" i="7" s="1"/>
  <c r="K23" i="7"/>
  <c r="K49" i="7" s="1"/>
  <c r="J23" i="7"/>
  <c r="J49" i="7" s="1"/>
  <c r="G23" i="7"/>
  <c r="F23" i="7"/>
  <c r="E23" i="7"/>
  <c r="M22" i="7"/>
  <c r="M48" i="7" s="1"/>
  <c r="L22" i="7"/>
  <c r="L48" i="7" s="1"/>
  <c r="K22" i="7"/>
  <c r="K48" i="7" s="1"/>
  <c r="J22" i="7"/>
  <c r="J48" i="7" s="1"/>
  <c r="G22" i="7"/>
  <c r="F22" i="7"/>
  <c r="E22" i="7"/>
  <c r="N21" i="7"/>
  <c r="N47" i="7" s="1"/>
  <c r="M21" i="7"/>
  <c r="M47" i="7" s="1"/>
  <c r="L21" i="7"/>
  <c r="L47" i="7" s="1"/>
  <c r="K21" i="7"/>
  <c r="K47" i="7" s="1"/>
  <c r="J21" i="7"/>
  <c r="J47" i="7" s="1"/>
  <c r="F21" i="7"/>
  <c r="D21" i="7"/>
  <c r="G21" i="7" s="1"/>
  <c r="O20" i="7"/>
  <c r="O46" i="7" s="1"/>
  <c r="N20" i="7"/>
  <c r="N46" i="7" s="1"/>
  <c r="M20" i="7"/>
  <c r="M46" i="7" s="1"/>
  <c r="L20" i="7"/>
  <c r="L46" i="7" s="1"/>
  <c r="K20" i="7"/>
  <c r="K46" i="7" s="1"/>
  <c r="J20" i="7"/>
  <c r="J46" i="7" s="1"/>
  <c r="G20" i="7"/>
  <c r="F20" i="7"/>
  <c r="E20" i="7"/>
  <c r="P19" i="7"/>
  <c r="P45" i="7" s="1"/>
  <c r="O19" i="7"/>
  <c r="O45" i="7" s="1"/>
  <c r="N19" i="7"/>
  <c r="N45" i="7" s="1"/>
  <c r="M19" i="7"/>
  <c r="M45" i="7" s="1"/>
  <c r="L19" i="7"/>
  <c r="L45" i="7" s="1"/>
  <c r="K19" i="7"/>
  <c r="K45" i="7" s="1"/>
  <c r="J19" i="7"/>
  <c r="J45" i="7" s="1"/>
  <c r="G19" i="7"/>
  <c r="F19" i="7"/>
  <c r="E19" i="7"/>
  <c r="P18" i="7"/>
  <c r="P44" i="7" s="1"/>
  <c r="O18" i="7"/>
  <c r="O44" i="7" s="1"/>
  <c r="N18" i="7"/>
  <c r="N44" i="7" s="1"/>
  <c r="M18" i="7"/>
  <c r="M44" i="7" s="1"/>
  <c r="L18" i="7"/>
  <c r="L44" i="7" s="1"/>
  <c r="K18" i="7"/>
  <c r="K44" i="7" s="1"/>
  <c r="J18" i="7"/>
  <c r="J44" i="7" s="1"/>
  <c r="G18" i="7"/>
  <c r="F18" i="7"/>
  <c r="E18" i="7"/>
  <c r="P17" i="7"/>
  <c r="P43" i="7" s="1"/>
  <c r="O17" i="7"/>
  <c r="O43" i="7" s="1"/>
  <c r="N17" i="7"/>
  <c r="N43" i="7" s="1"/>
  <c r="M17" i="7"/>
  <c r="M43" i="7" s="1"/>
  <c r="L17" i="7"/>
  <c r="L43" i="7" s="1"/>
  <c r="K17" i="7"/>
  <c r="K43" i="7" s="1"/>
  <c r="J17" i="7"/>
  <c r="J43" i="7" s="1"/>
  <c r="G17" i="7"/>
  <c r="F17" i="7"/>
  <c r="E17" i="7"/>
  <c r="P37" i="8" l="1"/>
  <c r="C19" i="11"/>
  <c r="C38" i="10"/>
  <c r="C39" i="1"/>
  <c r="C38" i="1"/>
  <c r="C40" i="1"/>
  <c r="C41" i="1"/>
  <c r="E21" i="7"/>
  <c r="F36" i="7"/>
  <c r="H36" i="7" s="1"/>
  <c r="G36" i="7"/>
  <c r="O37" i="7"/>
  <c r="N37" i="8"/>
  <c r="F36" i="8"/>
  <c r="O37" i="8"/>
  <c r="J37" i="8"/>
  <c r="K37" i="8"/>
  <c r="L37" i="8"/>
  <c r="M37" i="8"/>
  <c r="G21" i="8"/>
  <c r="G36" i="8" s="1"/>
  <c r="N37" i="7"/>
  <c r="L37" i="7"/>
  <c r="M37" i="7"/>
  <c r="J37" i="7"/>
  <c r="P37" i="7"/>
  <c r="K37" i="7"/>
  <c r="C42" i="1" l="1"/>
  <c r="H36" i="8"/>
  <c r="P36" i="8" s="1"/>
  <c r="P38" i="8" s="1"/>
  <c r="K36" i="7"/>
  <c r="K38" i="7" s="1"/>
  <c r="L36" i="8" l="1"/>
  <c r="L38" i="8" s="1"/>
  <c r="M36" i="8"/>
  <c r="M38" i="8" s="1"/>
  <c r="N36" i="8"/>
  <c r="N38" i="8" s="1"/>
  <c r="K36" i="8"/>
  <c r="K38" i="8" s="1"/>
  <c r="J36" i="8"/>
  <c r="J38" i="8" s="1"/>
  <c r="O36" i="8"/>
  <c r="O38" i="8" s="1"/>
  <c r="L36" i="7"/>
  <c r="L38" i="7" s="1"/>
  <c r="M36" i="7"/>
  <c r="M38" i="7" s="1"/>
  <c r="N36" i="7"/>
  <c r="N38" i="7" s="1"/>
  <c r="O36" i="7"/>
  <c r="O38" i="7" s="1"/>
  <c r="P36" i="7"/>
  <c r="P38" i="7" s="1"/>
  <c r="J36" i="7"/>
  <c r="J38" i="7" s="1"/>
</calcChain>
</file>

<file path=xl/sharedStrings.xml><?xml version="1.0" encoding="utf-8"?>
<sst xmlns="http://schemas.openxmlformats.org/spreadsheetml/2006/main" count="344" uniqueCount="109">
  <si>
    <t>Aantal van eenheid</t>
  </si>
  <si>
    <t>Type wooneenheid</t>
  </si>
  <si>
    <t>Ontwerpstroom per eenheid</t>
  </si>
  <si>
    <t>Type 1: Laagbouw huishoudens met een individuele warmtepomp en tapwaterbuffer</t>
  </si>
  <si>
    <t>vlakken in</t>
  </si>
  <si>
    <t xml:space="preserve">  Rijtjeswoning</t>
  </si>
  <si>
    <t>Type 2: Laagbouw huishoudens met stads- of gasverwarming</t>
  </si>
  <si>
    <t>Type 3: Hoogbouw huishoudens met collectieve warmtepomp, stads- of gasverwarming</t>
  </si>
  <si>
    <t xml:space="preserve">  Appartement</t>
  </si>
  <si>
    <t>Type 4: Hoogbouw huishoudens met een individuele warmtepomp</t>
  </si>
  <si>
    <t>Type 5: Laag- of hoogbouw met alternatieve verwarmingscomponenten (toeslag)</t>
  </si>
  <si>
    <t xml:space="preserve">  Aantal  * elektrisch vermogen verwarmingscomponent *  gelijktijdigheidsfactor tabel type 5</t>
  </si>
  <si>
    <t>Type 6: Kleinzakelijk (niet-huishoudelijk 3x35A t/m 3x80A)</t>
  </si>
  <si>
    <t>Type 7: Grootverbruik LS (eigen richting &gt;3x80A)</t>
  </si>
  <si>
    <t>A</t>
  </si>
  <si>
    <t>Totale ontwerpstroom op de kabel (A)</t>
  </si>
  <si>
    <t>Totale ontwerpstroom op de stijgleiding (A)</t>
  </si>
  <si>
    <t xml:space="preserve">De lengte van de 16Cu stijgleiding is o.b.v. 1% spanningsvariatie (en belasting evenredig verdeeld) beperkt tot de maximale lengtes in onderstaande tabel. </t>
  </si>
  <si>
    <t>Indien de lengte van de stijgleiding uit bovenstaande tabel niet toereikend is dan kan hiervan worden afgeweken door het maken van een GAIA berekening. In deze GAIA berekening moet dan worden aangetoond dat de spanningsvariatie van het hoofdnet en stijgleiding &lt; 5%.</t>
  </si>
  <si>
    <t>Verschillende doorsnedes in dezelfde kabelgroep! Let op: Alleen de gele velden zijn invoervelden !</t>
  </si>
  <si>
    <t>Invoervelden</t>
  </si>
  <si>
    <t xml:space="preserve">evenredig verdeelde belasting over de kabel (50%), gebaseerd op tabel 7 uit kader Eea-0205.K </t>
  </si>
  <si>
    <t>er moet wel sprake zijn van zogenaamde kabelverjonging, d.w.z. de zwaardere kabels aan het begin van de kabelgroep en de dunnere kabels op het eind van de kabelgroep.</t>
  </si>
  <si>
    <t>ontwerpstroom</t>
  </si>
  <si>
    <t>t/m 57A</t>
  </si>
  <si>
    <t>58 t/m 72A</t>
  </si>
  <si>
    <t>73 t/m 90A</t>
  </si>
  <si>
    <t>91 t/m 113A</t>
  </si>
  <si>
    <t>114 t/m 144A</t>
  </si>
  <si>
    <t>145 t/m 180A</t>
  </si>
  <si>
    <t>181 t/m 225A</t>
  </si>
  <si>
    <t>smeltveiligheid Inom</t>
  </si>
  <si>
    <t>63A gG</t>
  </si>
  <si>
    <t>80A gG</t>
  </si>
  <si>
    <t>100A gG</t>
  </si>
  <si>
    <t>125A gG</t>
  </si>
  <si>
    <t>160A gG</t>
  </si>
  <si>
    <t>200A gG</t>
  </si>
  <si>
    <t>250A gG</t>
  </si>
  <si>
    <t>invoer</t>
  </si>
  <si>
    <t>waarden per 1000m</t>
  </si>
  <si>
    <t>waarden o.b.v. kabellengte</t>
  </si>
  <si>
    <t xml:space="preserve">kabellengtes </t>
  </si>
  <si>
    <t>ohm</t>
  </si>
  <si>
    <t>per doorsnede</t>
  </si>
  <si>
    <t>Name</t>
  </si>
  <si>
    <t>R</t>
  </si>
  <si>
    <t>X</t>
  </si>
  <si>
    <t>Z (berekend)</t>
  </si>
  <si>
    <t>Zomer</t>
  </si>
  <si>
    <t>in meters</t>
  </si>
  <si>
    <t>4*240mm2 Al</t>
  </si>
  <si>
    <t>4*150mm2 Al</t>
  </si>
  <si>
    <t>4*120mm2 Al</t>
  </si>
  <si>
    <t>4*95mm2 Al</t>
  </si>
  <si>
    <t>4*70mm2 Al</t>
  </si>
  <si>
    <t>4*50mm2 Al</t>
  </si>
  <si>
    <t>4*35mm2 Al</t>
  </si>
  <si>
    <t>4*25mm2 Al</t>
  </si>
  <si>
    <t>4*16mm2 Al</t>
  </si>
  <si>
    <t>4*185mm2 Cu</t>
  </si>
  <si>
    <t>4*150mm2 Cu</t>
  </si>
  <si>
    <t>4*95mm2 Cu</t>
  </si>
  <si>
    <t>4*70mm2 Cu</t>
  </si>
  <si>
    <t>4*50mm2 Cu</t>
  </si>
  <si>
    <t>4*35mm2 Cu</t>
  </si>
  <si>
    <t>4*25mm2 Cu</t>
  </si>
  <si>
    <t>4*16mm2 Cu</t>
  </si>
  <si>
    <t>totale samengestelde impedantie</t>
  </si>
  <si>
    <t xml:space="preserve">   t.a.v. totale impedantie</t>
  </si>
  <si>
    <t xml:space="preserve">   t.a.v. ontwerpstroom</t>
  </si>
  <si>
    <t xml:space="preserve">   voldoet aan beide / toegestaan?</t>
  </si>
  <si>
    <t>hulptabel (wordt in definitieve versie verborgen, leidt alleen maar af)</t>
  </si>
  <si>
    <t xml:space="preserve">belasting geconcentreerd op de laatste helft van de kabel (75%), gebaseerd op tabel 8 uit kader Eea-0205.K </t>
  </si>
  <si>
    <t xml:space="preserve">  Onbekend</t>
  </si>
  <si>
    <t xml:space="preserve">  Twee onder een kap</t>
  </si>
  <si>
    <t>  Vrijstaand</t>
  </si>
  <si>
    <t>  Twee onder een kap</t>
  </si>
  <si>
    <r>
      <t xml:space="preserve">Ontwerpstroom </t>
    </r>
    <r>
      <rPr>
        <b/>
        <u/>
        <sz val="11"/>
        <color theme="1"/>
        <rFont val="Calibri"/>
        <family val="2"/>
        <scheme val="minor"/>
      </rPr>
      <t>verbruik</t>
    </r>
    <r>
      <rPr>
        <b/>
        <sz val="11"/>
        <color theme="1"/>
        <rFont val="Calibri"/>
        <family val="2"/>
        <scheme val="minor"/>
      </rPr>
      <t xml:space="preserve"> per eenheid</t>
    </r>
  </si>
  <si>
    <r>
      <t xml:space="preserve">Ontwerpstroom </t>
    </r>
    <r>
      <rPr>
        <b/>
        <u/>
        <sz val="11"/>
        <color theme="1"/>
        <rFont val="Calibri"/>
        <family val="2"/>
        <scheme val="minor"/>
      </rPr>
      <t>opwek</t>
    </r>
    <r>
      <rPr>
        <b/>
        <sz val="11"/>
        <color theme="1"/>
        <rFont val="Calibri"/>
        <family val="2"/>
        <scheme val="minor"/>
      </rPr>
      <t xml:space="preserve"> per eenheid</t>
    </r>
  </si>
  <si>
    <r>
      <t xml:space="preserve">Totaal </t>
    </r>
    <r>
      <rPr>
        <b/>
        <u/>
        <sz val="11"/>
        <color theme="1"/>
        <rFont val="Calibri"/>
        <family val="2"/>
        <scheme val="minor"/>
      </rPr>
      <t>verbruik</t>
    </r>
    <r>
      <rPr>
        <b/>
        <sz val="11"/>
        <color theme="1"/>
        <rFont val="Calibri"/>
        <family val="2"/>
        <scheme val="minor"/>
      </rPr>
      <t xml:space="preserve"> op trafoniveau in kW</t>
    </r>
  </si>
  <si>
    <r>
      <t xml:space="preserve">Totaal </t>
    </r>
    <r>
      <rPr>
        <b/>
        <u/>
        <sz val="11"/>
        <color theme="1"/>
        <rFont val="Calibri"/>
        <family val="2"/>
        <scheme val="minor"/>
      </rPr>
      <t>opwek</t>
    </r>
    <r>
      <rPr>
        <b/>
        <sz val="11"/>
        <color theme="1"/>
        <rFont val="Calibri"/>
        <family val="2"/>
        <scheme val="minor"/>
      </rPr>
      <t xml:space="preserve"> op trafoniveau in kW</t>
    </r>
  </si>
  <si>
    <t xml:space="preserve">  Collectieve warmtepomp - elektrisch vermogen</t>
  </si>
  <si>
    <t>Type 8: Netbewust publiek laden</t>
  </si>
  <si>
    <t xml:space="preserve">  Aansluiting 3x25A</t>
  </si>
  <si>
    <r>
      <t xml:space="preserve">Totale benodigde trafo capaciteit voor </t>
    </r>
    <r>
      <rPr>
        <b/>
        <u/>
        <sz val="12"/>
        <color theme="1"/>
        <rFont val="Calibri"/>
        <family val="2"/>
        <scheme val="minor"/>
      </rPr>
      <t>verbruik</t>
    </r>
    <r>
      <rPr>
        <b/>
        <sz val="12"/>
        <color theme="1"/>
        <rFont val="Calibri"/>
        <family val="2"/>
        <scheme val="minor"/>
      </rPr>
      <t xml:space="preserve"> (kW)</t>
    </r>
  </si>
  <si>
    <r>
      <t xml:space="preserve">Totale benodigde trafo capaciteit voor </t>
    </r>
    <r>
      <rPr>
        <b/>
        <u/>
        <sz val="12"/>
        <color theme="1"/>
        <rFont val="Calibri"/>
        <family val="2"/>
        <scheme val="minor"/>
      </rPr>
      <t>opwek</t>
    </r>
    <r>
      <rPr>
        <b/>
        <sz val="12"/>
        <color theme="1"/>
        <rFont val="Calibri"/>
        <family val="2"/>
        <scheme val="minor"/>
      </rPr>
      <t xml:space="preserve"> (kW)</t>
    </r>
  </si>
  <si>
    <r>
      <t xml:space="preserve">Totaal </t>
    </r>
    <r>
      <rPr>
        <b/>
        <u/>
        <sz val="11"/>
        <color theme="1"/>
        <rFont val="Calibri"/>
        <family val="2"/>
        <scheme val="minor"/>
      </rPr>
      <t>verbruik</t>
    </r>
    <r>
      <rPr>
        <b/>
        <sz val="11"/>
        <color theme="1"/>
        <rFont val="Calibri"/>
        <family val="2"/>
        <scheme val="minor"/>
      </rPr>
      <t xml:space="preserve"> op trafoniveau in A</t>
    </r>
  </si>
  <si>
    <r>
      <t xml:space="preserve">Totaal </t>
    </r>
    <r>
      <rPr>
        <b/>
        <u/>
        <sz val="11"/>
        <color theme="1"/>
        <rFont val="Calibri"/>
        <family val="2"/>
        <scheme val="minor"/>
      </rPr>
      <t>opwek</t>
    </r>
    <r>
      <rPr>
        <b/>
        <sz val="11"/>
        <color theme="1"/>
        <rFont val="Calibri"/>
        <family val="2"/>
        <scheme val="minor"/>
      </rPr>
      <t xml:space="preserve"> op trafoniveau in A</t>
    </r>
  </si>
  <si>
    <r>
      <t xml:space="preserve">Totale benodigde trafo capaciteit voor </t>
    </r>
    <r>
      <rPr>
        <b/>
        <u/>
        <sz val="12"/>
        <color theme="1"/>
        <rFont val="Calibri"/>
        <family val="2"/>
        <scheme val="minor"/>
      </rPr>
      <t>verbruik</t>
    </r>
    <r>
      <rPr>
        <b/>
        <sz val="12"/>
        <color theme="1"/>
        <rFont val="Calibri"/>
        <family val="2"/>
        <scheme val="minor"/>
      </rPr>
      <t xml:space="preserve"> (A)</t>
    </r>
  </si>
  <si>
    <r>
      <t xml:space="preserve">Totale benodigde trafo capaciteit voor </t>
    </r>
    <r>
      <rPr>
        <b/>
        <u/>
        <sz val="12"/>
        <color theme="1"/>
        <rFont val="Calibri"/>
        <family val="2"/>
        <scheme val="minor"/>
      </rPr>
      <t>opwek</t>
    </r>
    <r>
      <rPr>
        <b/>
        <sz val="12"/>
        <color theme="1"/>
        <rFont val="Calibri"/>
        <family val="2"/>
        <scheme val="minor"/>
      </rPr>
      <t xml:space="preserve"> (A)</t>
    </r>
  </si>
  <si>
    <r>
      <t xml:space="preserve">Totaal </t>
    </r>
    <r>
      <rPr>
        <b/>
        <u/>
        <sz val="11"/>
        <color theme="1"/>
        <rFont val="Calibri"/>
        <family val="2"/>
        <scheme val="minor"/>
      </rPr>
      <t>verbruik</t>
    </r>
    <r>
      <rPr>
        <b/>
        <sz val="11"/>
        <color theme="1"/>
        <rFont val="Calibri"/>
        <family val="2"/>
        <scheme val="minor"/>
      </rPr>
      <t xml:space="preserve"> op kabelniveau in A</t>
    </r>
  </si>
  <si>
    <r>
      <t xml:space="preserve">Totaal </t>
    </r>
    <r>
      <rPr>
        <b/>
        <u/>
        <sz val="11"/>
        <color theme="1"/>
        <rFont val="Calibri"/>
        <family val="2"/>
        <scheme val="minor"/>
      </rPr>
      <t>opwek</t>
    </r>
    <r>
      <rPr>
        <b/>
        <sz val="11"/>
        <color theme="1"/>
        <rFont val="Calibri"/>
        <family val="2"/>
        <scheme val="minor"/>
      </rPr>
      <t xml:space="preserve"> op kabelniveau in A</t>
    </r>
  </si>
  <si>
    <t>Minimaal aantal benodigde netstations met een 630kVA transformator</t>
  </si>
  <si>
    <r>
      <t xml:space="preserve">Totaal </t>
    </r>
    <r>
      <rPr>
        <b/>
        <u/>
        <sz val="11"/>
        <color theme="1"/>
        <rFont val="Calibri"/>
        <family val="2"/>
        <scheme val="minor"/>
      </rPr>
      <t>verbruik</t>
    </r>
    <r>
      <rPr>
        <b/>
        <sz val="11"/>
        <color theme="1"/>
        <rFont val="Calibri"/>
        <family val="2"/>
        <scheme val="minor"/>
      </rPr>
      <t xml:space="preserve"> op kabelniveau in kW</t>
    </r>
  </si>
  <si>
    <r>
      <t xml:space="preserve">Totaal </t>
    </r>
    <r>
      <rPr>
        <b/>
        <u/>
        <sz val="11"/>
        <color theme="1"/>
        <rFont val="Calibri"/>
        <family val="2"/>
        <scheme val="minor"/>
      </rPr>
      <t>opwek</t>
    </r>
    <r>
      <rPr>
        <b/>
        <sz val="11"/>
        <color theme="1"/>
        <rFont val="Calibri"/>
        <family val="2"/>
        <scheme val="minor"/>
      </rPr>
      <t xml:space="preserve"> op kabelniveau in kW</t>
    </r>
  </si>
  <si>
    <t xml:space="preserve">Vul alleen de </t>
  </si>
  <si>
    <t>Totaal op kabelniveau in A</t>
  </si>
  <si>
    <t>Totaal op kabelniveau in kW</t>
  </si>
  <si>
    <t>Ontwerpstroom stijgleiding</t>
  </si>
  <si>
    <t>Ontwerpstroom kabel</t>
  </si>
  <si>
    <t>Ontwerpstroom transformator</t>
  </si>
  <si>
    <t xml:space="preserve">  Appartement incl. publiek laden</t>
  </si>
  <si>
    <t xml:space="preserve">  Toekomstige aansluitwaarde: 3x35A t/m 3x40A </t>
  </si>
  <si>
    <t xml:space="preserve">  Toekomstige aansluitwaarde: 3x50A</t>
  </si>
  <si>
    <t xml:space="preserve">  Toekomstige aansluitwaarde: 3x63A t/m 3x80A </t>
  </si>
  <si>
    <t xml:space="preserve">  Toekomstige aansluitwaarde: 3x160A</t>
  </si>
  <si>
    <t xml:space="preserve">  Toekomstige aansluitwaarde: 3x250A</t>
  </si>
  <si>
    <t>Toekomstige aansluitwaarden kleinzakelijk en grootverbruik: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</si>
</sst>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0.0"/>
    <numFmt numFmtId="165" formatCode="0.000"/>
    <numFmt numFmtId="166" formatCode="_ * #,##0_ ;_ * \-#,##0_ ;_ * &quot;-&quot;??_ ;_ @_ "/>
    <numFmt numFmtId="167" formatCode="_ * #,##0.000_ ;_ * \-#,##0.000_ ;_ * &quot;-&quot;???_ ;_ @_ "/>
  </numFmts>
  <fonts count="14" x14ac:knownFonts="1">
    <font>
      <sz val="11"/>
      <color theme="1"/>
      <name val="Calibri"/>
      <family val="2"/>
      <scheme val="minor"/>
    </font>
    <font>
      <sz val="9"/>
      <color rgb="FF000000"/>
      <name val="Segoe UI"/>
      <family val="2"/>
    </font>
    <font>
      <i/>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sz val="9"/>
      <color theme="1"/>
      <name val="Verdana"/>
      <family val="2"/>
    </font>
    <font>
      <sz val="11"/>
      <color theme="1"/>
      <name val="Calibri"/>
      <family val="2"/>
      <scheme val="minor"/>
    </font>
    <font>
      <b/>
      <sz val="18"/>
      <color theme="1"/>
      <name val="Calibri"/>
      <family val="2"/>
      <scheme val="minor"/>
    </font>
    <font>
      <b/>
      <sz val="16"/>
      <color theme="1"/>
      <name val="Calibri"/>
      <family val="2"/>
      <scheme val="minor"/>
    </font>
    <font>
      <b/>
      <sz val="14"/>
      <color rgb="FFFF0000"/>
      <name val="Calibri"/>
      <family val="2"/>
      <scheme val="minor"/>
    </font>
    <font>
      <b/>
      <sz val="11"/>
      <name val="Calibri"/>
      <family val="2"/>
      <scheme val="minor"/>
    </font>
    <font>
      <b/>
      <u/>
      <sz val="11"/>
      <color theme="1"/>
      <name val="Calibri"/>
      <family val="2"/>
      <scheme val="minor"/>
    </font>
    <font>
      <b/>
      <u/>
      <sz val="12"/>
      <color theme="1"/>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lightDown"/>
    </fill>
    <fill>
      <patternFill patternType="solid">
        <fgColor theme="0" tint="-0.14999847407452621"/>
        <bgColor indexed="64"/>
      </patternFill>
    </fill>
    <fill>
      <patternFill patternType="solid">
        <fgColor theme="3"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2"/>
        <bgColor indexed="64"/>
      </patternFill>
    </fill>
  </fills>
  <borders count="27">
    <border>
      <left/>
      <right/>
      <top/>
      <bottom/>
      <diagonal/>
    </border>
    <border>
      <left style="medium">
        <color indexed="64"/>
      </left>
      <right/>
      <top style="medium">
        <color indexed="64"/>
      </top>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style="medium">
        <color indexed="64"/>
      </right>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s>
  <cellStyleXfs count="2">
    <xf numFmtId="0" fontId="0" fillId="0" borderId="0"/>
    <xf numFmtId="43" fontId="7" fillId="0" borderId="0" applyFont="0" applyFill="0" applyBorder="0" applyAlignment="0" applyProtection="0"/>
  </cellStyleXfs>
  <cellXfs count="122">
    <xf numFmtId="0" fontId="0" fillId="0" borderId="0" xfId="0"/>
    <xf numFmtId="0" fontId="1" fillId="0" borderId="0" xfId="0" applyFont="1"/>
    <xf numFmtId="0" fontId="2" fillId="0" borderId="0" xfId="0" applyFont="1"/>
    <xf numFmtId="0" fontId="0" fillId="0" borderId="0" xfId="0" applyAlignment="1">
      <alignment horizontal="center" vertical="center"/>
    </xf>
    <xf numFmtId="164" fontId="0" fillId="0" borderId="0" xfId="0" applyNumberFormat="1" applyAlignment="1">
      <alignment horizontal="center" vertical="center"/>
    </xf>
    <xf numFmtId="0" fontId="3" fillId="0" borderId="0" xfId="0" applyFont="1" applyAlignment="1">
      <alignment horizontal="center" vertical="center" wrapText="1"/>
    </xf>
    <xf numFmtId="0" fontId="3" fillId="0" borderId="0" xfId="0" applyFont="1" applyAlignment="1">
      <alignment wrapText="1"/>
    </xf>
    <xf numFmtId="0" fontId="4" fillId="0" borderId="0" xfId="0" applyFont="1" applyAlignment="1">
      <alignment horizontal="right"/>
    </xf>
    <xf numFmtId="1" fontId="3" fillId="0" borderId="0" xfId="0" applyNumberFormat="1" applyFont="1" applyAlignment="1">
      <alignment horizontal="center" vertical="center" wrapText="1"/>
    </xf>
    <xf numFmtId="1" fontId="0" fillId="0" borderId="0" xfId="0" applyNumberFormat="1" applyAlignment="1">
      <alignment horizontal="center" vertical="center"/>
    </xf>
    <xf numFmtId="0" fontId="3" fillId="0" borderId="0" xfId="0" applyFont="1" applyAlignment="1">
      <alignment horizontal="center" vertical="center"/>
    </xf>
    <xf numFmtId="164" fontId="0" fillId="3" borderId="0" xfId="0" applyNumberFormat="1" applyFill="1" applyAlignment="1">
      <alignment horizontal="center" vertical="center"/>
    </xf>
    <xf numFmtId="0" fontId="3" fillId="0" borderId="0" xfId="0" applyFont="1"/>
    <xf numFmtId="0" fontId="0" fillId="4" borderId="0" xfId="0" applyFill="1" applyAlignment="1">
      <alignment horizontal="center" vertical="center"/>
    </xf>
    <xf numFmtId="164" fontId="0" fillId="5" borderId="0" xfId="0" applyNumberFormat="1" applyFill="1" applyAlignment="1">
      <alignment horizontal="center" vertical="center"/>
    </xf>
    <xf numFmtId="1" fontId="3" fillId="2" borderId="0" xfId="0" applyNumberFormat="1" applyFont="1" applyFill="1" applyAlignment="1">
      <alignment horizontal="center" vertical="center"/>
    </xf>
    <xf numFmtId="0" fontId="3" fillId="3" borderId="0" xfId="0" applyFont="1" applyFill="1"/>
    <xf numFmtId="1" fontId="0" fillId="4" borderId="0" xfId="0" applyNumberFormat="1" applyFill="1" applyAlignment="1">
      <alignment horizontal="center" vertical="center"/>
    </xf>
    <xf numFmtId="1" fontId="0" fillId="3" borderId="0" xfId="0" applyNumberFormat="1" applyFill="1" applyAlignment="1">
      <alignment horizontal="center" vertical="center"/>
    </xf>
    <xf numFmtId="0" fontId="6" fillId="0" borderId="0" xfId="0" applyFont="1" applyAlignment="1">
      <alignment vertical="center" wrapText="1"/>
    </xf>
    <xf numFmtId="0" fontId="6" fillId="0" borderId="0" xfId="0" applyFont="1" applyAlignment="1">
      <alignment wrapText="1"/>
    </xf>
    <xf numFmtId="0" fontId="8" fillId="2" borderId="0" xfId="0" applyFont="1" applyFill="1"/>
    <xf numFmtId="0" fontId="0" fillId="2" borderId="0" xfId="0" applyFill="1" applyAlignment="1">
      <alignment horizontal="center"/>
    </xf>
    <xf numFmtId="0" fontId="0" fillId="2" borderId="0" xfId="0" applyFill="1" applyAlignment="1">
      <alignment horizontal="right"/>
    </xf>
    <xf numFmtId="0" fontId="0" fillId="0" borderId="0" xfId="0" applyAlignment="1">
      <alignment horizontal="right"/>
    </xf>
    <xf numFmtId="0" fontId="9" fillId="2" borderId="0" xfId="0" applyFont="1" applyFill="1" applyAlignment="1">
      <alignment horizontal="center"/>
    </xf>
    <xf numFmtId="0" fontId="10" fillId="0" borderId="0" xfId="0" applyFont="1"/>
    <xf numFmtId="0" fontId="0" fillId="0" borderId="0" xfId="0" applyAlignment="1">
      <alignment horizontal="center"/>
    </xf>
    <xf numFmtId="0" fontId="0" fillId="6" borderId="1" xfId="0" applyFill="1" applyBorder="1"/>
    <xf numFmtId="0" fontId="3" fillId="0" borderId="2"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3" fillId="0" borderId="5" xfId="0" applyFont="1" applyBorder="1" applyAlignment="1">
      <alignment horizontal="center"/>
    </xf>
    <xf numFmtId="0" fontId="0" fillId="6" borderId="2" xfId="0" applyFill="1" applyBorder="1"/>
    <xf numFmtId="0" fontId="0" fillId="6" borderId="3" xfId="0" applyFill="1" applyBorder="1"/>
    <xf numFmtId="0" fontId="0" fillId="6" borderId="4" xfId="0" applyFill="1" applyBorder="1"/>
    <xf numFmtId="0" fontId="0" fillId="2" borderId="5" xfId="0" applyFill="1" applyBorder="1" applyAlignment="1">
      <alignment horizontal="center"/>
    </xf>
    <xf numFmtId="0" fontId="0" fillId="0" borderId="6" xfId="0" applyBorder="1" applyAlignment="1">
      <alignment horizontal="right"/>
    </xf>
    <xf numFmtId="0" fontId="11" fillId="0" borderId="7" xfId="0" applyFont="1" applyBorder="1"/>
    <xf numFmtId="0" fontId="3" fillId="0" borderId="8" xfId="0" applyFont="1" applyBorder="1" applyAlignment="1">
      <alignment horizontal="center"/>
    </xf>
    <xf numFmtId="0" fontId="3" fillId="0" borderId="0" xfId="0" applyFont="1" applyAlignment="1">
      <alignment horizontal="center"/>
    </xf>
    <xf numFmtId="0" fontId="3" fillId="0" borderId="9" xfId="0" applyFont="1" applyBorder="1" applyAlignment="1">
      <alignment horizontal="center"/>
    </xf>
    <xf numFmtId="0" fontId="3" fillId="0" borderId="10" xfId="0" applyFont="1" applyBorder="1" applyAlignment="1">
      <alignment horizontal="center"/>
    </xf>
    <xf numFmtId="0" fontId="11" fillId="0" borderId="8" xfId="0" applyFont="1" applyBorder="1" applyAlignment="1">
      <alignment horizontal="right"/>
    </xf>
    <xf numFmtId="0" fontId="11" fillId="0" borderId="0" xfId="0" applyFont="1" applyAlignment="1">
      <alignment horizontal="right"/>
    </xf>
    <xf numFmtId="0" fontId="11" fillId="0" borderId="9" xfId="0" applyFont="1" applyBorder="1" applyAlignment="1">
      <alignment horizontal="right"/>
    </xf>
    <xf numFmtId="0" fontId="3" fillId="2" borderId="10" xfId="0" applyFont="1" applyFill="1" applyBorder="1" applyAlignment="1">
      <alignment horizontal="center"/>
    </xf>
    <xf numFmtId="0" fontId="0" fillId="0" borderId="11" xfId="0" applyBorder="1" applyAlignment="1">
      <alignment horizontal="right"/>
    </xf>
    <xf numFmtId="0" fontId="0" fillId="0" borderId="7" xfId="0" applyBorder="1"/>
    <xf numFmtId="0" fontId="0" fillId="0" borderId="10" xfId="0" applyBorder="1" applyAlignment="1">
      <alignment horizontal="center"/>
    </xf>
    <xf numFmtId="0" fontId="0" fillId="0" borderId="8" xfId="0" applyBorder="1" applyAlignment="1">
      <alignment horizontal="right"/>
    </xf>
    <xf numFmtId="0" fontId="0" fillId="0" borderId="9" xfId="0" applyBorder="1" applyAlignment="1">
      <alignment horizontal="right"/>
    </xf>
    <xf numFmtId="0" fontId="0" fillId="0" borderId="8" xfId="0" applyBorder="1" applyAlignment="1">
      <alignment horizontal="center"/>
    </xf>
    <xf numFmtId="0" fontId="0" fillId="0" borderId="9" xfId="0" applyBorder="1" applyAlignment="1">
      <alignment horizontal="center"/>
    </xf>
    <xf numFmtId="0" fontId="3" fillId="0" borderId="12" xfId="0" applyFont="1" applyBorder="1"/>
    <xf numFmtId="0" fontId="3" fillId="0" borderId="13" xfId="0" applyFont="1" applyBorder="1" applyAlignment="1">
      <alignment horizontal="center"/>
    </xf>
    <xf numFmtId="0" fontId="3" fillId="0" borderId="14" xfId="0" applyFont="1" applyBorder="1" applyAlignment="1">
      <alignment horizontal="center"/>
    </xf>
    <xf numFmtId="0" fontId="3" fillId="0" borderId="15" xfId="0" applyFont="1" applyBorder="1" applyAlignment="1">
      <alignment horizontal="center"/>
    </xf>
    <xf numFmtId="0" fontId="3" fillId="0" borderId="16" xfId="0" applyFont="1" applyBorder="1" applyAlignment="1">
      <alignment horizontal="center"/>
    </xf>
    <xf numFmtId="0" fontId="0" fillId="0" borderId="13" xfId="0" applyBorder="1" applyAlignment="1">
      <alignment horizontal="right"/>
    </xf>
    <xf numFmtId="0" fontId="0" fillId="0" borderId="14" xfId="0" applyBorder="1" applyAlignment="1">
      <alignment horizontal="right"/>
    </xf>
    <xf numFmtId="0" fontId="0" fillId="0" borderId="15" xfId="0" applyBorder="1" applyAlignment="1">
      <alignment horizontal="right"/>
    </xf>
    <xf numFmtId="0" fontId="3" fillId="2" borderId="16" xfId="0" applyFont="1" applyFill="1" applyBorder="1" applyAlignment="1">
      <alignment horizontal="center"/>
    </xf>
    <xf numFmtId="0" fontId="0" fillId="0" borderId="17" xfId="0" applyBorder="1" applyAlignment="1">
      <alignment horizontal="right"/>
    </xf>
    <xf numFmtId="165" fontId="0" fillId="0" borderId="8" xfId="0" applyNumberFormat="1" applyBorder="1" applyAlignment="1">
      <alignment horizontal="center"/>
    </xf>
    <xf numFmtId="165" fontId="0" fillId="0" borderId="0" xfId="0" applyNumberFormat="1" applyAlignment="1">
      <alignment horizontal="center"/>
    </xf>
    <xf numFmtId="165" fontId="0" fillId="0" borderId="9" xfId="0" applyNumberFormat="1" applyBorder="1" applyAlignment="1">
      <alignment horizontal="center"/>
    </xf>
    <xf numFmtId="1" fontId="0" fillId="0" borderId="10" xfId="0" applyNumberFormat="1" applyBorder="1" applyAlignment="1">
      <alignment horizontal="center"/>
    </xf>
    <xf numFmtId="166" fontId="0" fillId="0" borderId="8" xfId="1" applyNumberFormat="1" applyFont="1" applyBorder="1" applyAlignment="1">
      <alignment horizontal="right"/>
    </xf>
    <xf numFmtId="166" fontId="0" fillId="0" borderId="0" xfId="1" applyNumberFormat="1" applyFont="1" applyBorder="1" applyAlignment="1">
      <alignment horizontal="right"/>
    </xf>
    <xf numFmtId="166" fontId="0" fillId="0" borderId="9" xfId="1" applyNumberFormat="1" applyFont="1" applyBorder="1" applyAlignment="1">
      <alignment horizontal="right"/>
    </xf>
    <xf numFmtId="0" fontId="0" fillId="2" borderId="10" xfId="0" applyFill="1" applyBorder="1" applyAlignment="1">
      <alignment horizontal="center"/>
    </xf>
    <xf numFmtId="0" fontId="0" fillId="0" borderId="11" xfId="0" applyBorder="1"/>
    <xf numFmtId="166" fontId="0" fillId="0" borderId="9" xfId="1" applyNumberFormat="1" applyFont="1" applyBorder="1" applyAlignment="1" applyProtection="1">
      <alignment horizontal="right"/>
    </xf>
    <xf numFmtId="166" fontId="0" fillId="0" borderId="0" xfId="1" applyNumberFormat="1" applyFont="1" applyBorder="1" applyAlignment="1" applyProtection="1">
      <alignment horizontal="right"/>
      <protection locked="0"/>
    </xf>
    <xf numFmtId="166" fontId="0" fillId="0" borderId="9" xfId="1" applyNumberFormat="1" applyFont="1" applyBorder="1" applyAlignment="1" applyProtection="1">
      <alignment horizontal="right"/>
      <protection locked="0"/>
    </xf>
    <xf numFmtId="0" fontId="0" fillId="0" borderId="12" xfId="0" applyBorder="1"/>
    <xf numFmtId="165" fontId="0" fillId="0" borderId="13" xfId="0" applyNumberFormat="1" applyBorder="1" applyAlignment="1">
      <alignment horizontal="center"/>
    </xf>
    <xf numFmtId="165" fontId="0" fillId="0" borderId="14" xfId="0" applyNumberFormat="1" applyBorder="1" applyAlignment="1">
      <alignment horizontal="center"/>
    </xf>
    <xf numFmtId="165" fontId="0" fillId="0" borderId="15" xfId="0" applyNumberFormat="1" applyBorder="1" applyAlignment="1">
      <alignment horizontal="center"/>
    </xf>
    <xf numFmtId="1" fontId="0" fillId="0" borderId="16" xfId="0" applyNumberFormat="1" applyBorder="1" applyAlignment="1">
      <alignment horizontal="center"/>
    </xf>
    <xf numFmtId="166" fontId="0" fillId="0" borderId="13" xfId="1" applyNumberFormat="1" applyFont="1" applyBorder="1" applyAlignment="1">
      <alignment horizontal="right"/>
    </xf>
    <xf numFmtId="166" fontId="0" fillId="0" borderId="14" xfId="1" applyNumberFormat="1" applyFont="1" applyBorder="1" applyAlignment="1">
      <alignment horizontal="right"/>
    </xf>
    <xf numFmtId="166" fontId="0" fillId="0" borderId="14" xfId="1" applyNumberFormat="1" applyFont="1" applyBorder="1" applyAlignment="1" applyProtection="1">
      <alignment horizontal="right"/>
      <protection locked="0"/>
    </xf>
    <xf numFmtId="166" fontId="0" fillId="0" borderId="15" xfId="1" applyNumberFormat="1" applyFont="1" applyBorder="1" applyAlignment="1" applyProtection="1">
      <alignment horizontal="right"/>
      <protection locked="0"/>
    </xf>
    <xf numFmtId="0" fontId="0" fillId="2" borderId="16" xfId="0" applyFill="1" applyBorder="1" applyAlignment="1">
      <alignment horizontal="center"/>
    </xf>
    <xf numFmtId="0" fontId="0" fillId="0" borderId="17" xfId="0" applyBorder="1"/>
    <xf numFmtId="0" fontId="0" fillId="0" borderId="18" xfId="0" applyBorder="1"/>
    <xf numFmtId="0" fontId="0" fillId="0" borderId="19" xfId="0" applyBorder="1" applyAlignment="1">
      <alignment horizontal="right"/>
    </xf>
    <xf numFmtId="0" fontId="0" fillId="0" borderId="20" xfId="0" applyBorder="1" applyAlignment="1">
      <alignment horizontal="right"/>
    </xf>
    <xf numFmtId="0" fontId="0" fillId="0" borderId="21" xfId="0" applyBorder="1" applyAlignment="1">
      <alignment horizontal="right"/>
    </xf>
    <xf numFmtId="0" fontId="0" fillId="7" borderId="18" xfId="0" applyFill="1" applyBorder="1"/>
    <xf numFmtId="0" fontId="0" fillId="7" borderId="0" xfId="0" applyFill="1"/>
    <xf numFmtId="165" fontId="0" fillId="7" borderId="0" xfId="0" applyNumberFormat="1" applyFill="1" applyAlignment="1">
      <alignment horizontal="center"/>
    </xf>
    <xf numFmtId="0" fontId="0" fillId="7" borderId="0" xfId="0" applyFill="1" applyAlignment="1">
      <alignment horizontal="left"/>
    </xf>
    <xf numFmtId="0" fontId="0" fillId="7" borderId="11" xfId="0" applyFill="1" applyBorder="1"/>
    <xf numFmtId="167" fontId="0" fillId="0" borderId="0" xfId="0" applyNumberFormat="1" applyAlignment="1">
      <alignment horizontal="center"/>
    </xf>
    <xf numFmtId="0" fontId="0" fillId="6" borderId="0" xfId="0" applyFill="1" applyAlignment="1">
      <alignment horizontal="left"/>
    </xf>
    <xf numFmtId="0" fontId="0" fillId="6" borderId="11" xfId="0" applyFill="1" applyBorder="1"/>
    <xf numFmtId="0" fontId="0" fillId="0" borderId="22" xfId="0" applyBorder="1"/>
    <xf numFmtId="0" fontId="0" fillId="0" borderId="23" xfId="0" applyBorder="1" applyAlignment="1">
      <alignment horizontal="center"/>
    </xf>
    <xf numFmtId="0" fontId="3" fillId="0" borderId="24" xfId="0" applyFont="1" applyBorder="1" applyAlignment="1">
      <alignment horizontal="right"/>
    </xf>
    <xf numFmtId="0" fontId="3" fillId="0" borderId="23" xfId="0" applyFont="1" applyBorder="1" applyAlignment="1">
      <alignment horizontal="right"/>
    </xf>
    <xf numFmtId="0" fontId="3" fillId="0" borderId="25" xfId="0" applyFont="1" applyBorder="1" applyAlignment="1">
      <alignment horizontal="right"/>
    </xf>
    <xf numFmtId="0" fontId="3" fillId="8" borderId="23" xfId="0" applyFont="1" applyFill="1" applyBorder="1" applyAlignment="1">
      <alignment horizontal="left"/>
    </xf>
    <xf numFmtId="0" fontId="3" fillId="8" borderId="26" xfId="0" applyFont="1" applyFill="1" applyBorder="1"/>
    <xf numFmtId="0" fontId="3" fillId="0" borderId="0" xfId="0" applyFont="1" applyAlignment="1">
      <alignment horizontal="right"/>
    </xf>
    <xf numFmtId="0" fontId="0" fillId="9" borderId="0" xfId="0" applyFill="1" applyAlignment="1">
      <alignment horizontal="center"/>
    </xf>
    <xf numFmtId="0" fontId="0" fillId="9" borderId="0" xfId="0" applyFill="1" applyAlignment="1">
      <alignment horizontal="right"/>
    </xf>
    <xf numFmtId="0" fontId="5" fillId="0" borderId="0" xfId="0" applyFont="1" applyAlignment="1">
      <alignment horizontal="center"/>
    </xf>
    <xf numFmtId="164" fontId="3" fillId="0" borderId="0" xfId="0" applyNumberFormat="1" applyFont="1" applyAlignment="1">
      <alignment horizontal="center"/>
    </xf>
    <xf numFmtId="164" fontId="3" fillId="2" borderId="0" xfId="0" applyNumberFormat="1" applyFont="1" applyFill="1" applyAlignment="1">
      <alignment horizontal="center" vertical="center"/>
    </xf>
    <xf numFmtId="2" fontId="3" fillId="0" borderId="0" xfId="0" applyNumberFormat="1" applyFont="1" applyAlignment="1">
      <alignment horizontal="center" vertical="center"/>
    </xf>
    <xf numFmtId="164" fontId="3" fillId="0" borderId="0" xfId="0" applyNumberFormat="1" applyFont="1" applyAlignment="1">
      <alignment horizontal="center" vertical="center"/>
    </xf>
    <xf numFmtId="0" fontId="5" fillId="0" borderId="0" xfId="0" applyFont="1" applyAlignment="1">
      <alignment horizontal="center"/>
    </xf>
    <xf numFmtId="0" fontId="6" fillId="0" borderId="0" xfId="0" applyFont="1" applyAlignment="1">
      <alignment vertical="center"/>
    </xf>
    <xf numFmtId="0" fontId="0" fillId="0" borderId="0" xfId="0"/>
    <xf numFmtId="0" fontId="0" fillId="0" borderId="8" xfId="0" applyBorder="1" applyAlignment="1">
      <alignment horizontal="center"/>
    </xf>
    <xf numFmtId="0" fontId="0" fillId="0" borderId="0" xfId="0" applyAlignment="1">
      <alignment horizontal="center"/>
    </xf>
    <xf numFmtId="0" fontId="0" fillId="0" borderId="9" xfId="0" applyBorder="1" applyAlignment="1">
      <alignment horizontal="center"/>
    </xf>
    <xf numFmtId="0" fontId="0" fillId="0" borderId="0" xfId="0" applyBorder="1" applyAlignment="1">
      <alignment horizontal="right"/>
    </xf>
    <xf numFmtId="0" fontId="0" fillId="0" borderId="0" xfId="0" applyBorder="1"/>
  </cellXfs>
  <cellStyles count="2">
    <cellStyle name="Comma" xfId="1" builtinId="3"/>
    <cellStyle name="Normal" xfId="0" builtinId="0"/>
  </cellStyles>
  <dxfs count="4">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11</xdr:col>
      <xdr:colOff>18587</xdr:colOff>
      <xdr:row>5</xdr:row>
      <xdr:rowOff>11660</xdr:rowOff>
    </xdr:from>
    <xdr:to>
      <xdr:col>17</xdr:col>
      <xdr:colOff>477001</xdr:colOff>
      <xdr:row>24</xdr:row>
      <xdr:rowOff>170049</xdr:rowOff>
    </xdr:to>
    <xdr:pic>
      <xdr:nvPicPr>
        <xdr:cNvPr id="3" name="Afbeelding 2">
          <a:extLst>
            <a:ext uri="{FF2B5EF4-FFF2-40B4-BE49-F238E27FC236}">
              <a16:creationId xmlns:a16="http://schemas.microsoft.com/office/drawing/2014/main" id="{8C895EE2-CB73-48EF-A205-6795C36D21FF}"/>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35130" y="1492117"/>
          <a:ext cx="4176974" cy="3674475"/>
        </a:xfrm>
        <a:prstGeom prst="rect">
          <a:avLst/>
        </a:prstGeom>
        <a:noFill/>
        <a:ln>
          <a:noFill/>
        </a:ln>
      </xdr:spPr>
    </xdr:pic>
    <xdr:clientData/>
  </xdr:twoCellAnchor>
  <xdr:twoCellAnchor editAs="oneCell">
    <xdr:from>
      <xdr:col>10</xdr:col>
      <xdr:colOff>1</xdr:colOff>
      <xdr:row>30</xdr:row>
      <xdr:rowOff>0</xdr:rowOff>
    </xdr:from>
    <xdr:to>
      <xdr:col>20</xdr:col>
      <xdr:colOff>1006</xdr:colOff>
      <xdr:row>43</xdr:row>
      <xdr:rowOff>59211</xdr:rowOff>
    </xdr:to>
    <xdr:pic>
      <xdr:nvPicPr>
        <xdr:cNvPr id="5" name="Afbeelding 4">
          <a:extLst>
            <a:ext uri="{FF2B5EF4-FFF2-40B4-BE49-F238E27FC236}">
              <a16:creationId xmlns:a16="http://schemas.microsoft.com/office/drawing/2014/main" id="{99FAD93F-7898-BEAE-1FB2-EBEEDF97299E}"/>
            </a:ext>
          </a:extLst>
        </xdr:cNvPr>
        <xdr:cNvPicPr>
          <a:picLocks noChangeAspect="1"/>
        </xdr:cNvPicPr>
      </xdr:nvPicPr>
      <xdr:blipFill>
        <a:blip xmlns:r="http://schemas.openxmlformats.org/officeDocument/2006/relationships" r:embed="rId2"/>
        <a:stretch>
          <a:fillRect/>
        </a:stretch>
      </xdr:blipFill>
      <xdr:spPr>
        <a:xfrm>
          <a:off x="11820526" y="5991225"/>
          <a:ext cx="7200000" cy="25338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126999</xdr:colOff>
      <xdr:row>0</xdr:row>
      <xdr:rowOff>126999</xdr:rowOff>
    </xdr:from>
    <xdr:to>
      <xdr:col>17</xdr:col>
      <xdr:colOff>415713</xdr:colOff>
      <xdr:row>2</xdr:row>
      <xdr:rowOff>136524</xdr:rowOff>
    </xdr:to>
    <xdr:pic>
      <xdr:nvPicPr>
        <xdr:cNvPr id="3" name="Afbeelding 2">
          <a:extLst>
            <a:ext uri="{FF2B5EF4-FFF2-40B4-BE49-F238E27FC236}">
              <a16:creationId xmlns:a16="http://schemas.microsoft.com/office/drawing/2014/main" id="{58F1F34B-FE83-490D-BCA6-40CD71EA070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5916" y="126999"/>
          <a:ext cx="5516456" cy="925618"/>
        </a:xfrm>
        <a:prstGeom prst="rect">
          <a:avLst/>
        </a:prstGeom>
        <a:noFill/>
      </xdr:spPr>
    </xdr:pic>
    <xdr:clientData/>
  </xdr:twoCellAnchor>
  <xdr:twoCellAnchor editAs="oneCell">
    <xdr:from>
      <xdr:col>10</xdr:col>
      <xdr:colOff>0</xdr:colOff>
      <xdr:row>30</xdr:row>
      <xdr:rowOff>0</xdr:rowOff>
    </xdr:from>
    <xdr:to>
      <xdr:col>19</xdr:col>
      <xdr:colOff>1351236</xdr:colOff>
      <xdr:row>43</xdr:row>
      <xdr:rowOff>134995</xdr:rowOff>
    </xdr:to>
    <xdr:pic>
      <xdr:nvPicPr>
        <xdr:cNvPr id="2" name="Afbeelding 1">
          <a:extLst>
            <a:ext uri="{FF2B5EF4-FFF2-40B4-BE49-F238E27FC236}">
              <a16:creationId xmlns:a16="http://schemas.microsoft.com/office/drawing/2014/main" id="{908F6047-889B-498D-8662-72DEAA55401D}"/>
            </a:ext>
          </a:extLst>
        </xdr:cNvPr>
        <xdr:cNvPicPr>
          <a:picLocks noChangeAspect="1"/>
        </xdr:cNvPicPr>
      </xdr:nvPicPr>
      <xdr:blipFill>
        <a:blip xmlns:r="http://schemas.openxmlformats.org/officeDocument/2006/relationships" r:embed="rId2"/>
        <a:stretch>
          <a:fillRect/>
        </a:stretch>
      </xdr:blipFill>
      <xdr:spPr>
        <a:xfrm>
          <a:off x="11835848" y="6029739"/>
          <a:ext cx="7200000" cy="253314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366607</xdr:colOff>
      <xdr:row>5</xdr:row>
      <xdr:rowOff>2963</xdr:rowOff>
    </xdr:from>
    <xdr:to>
      <xdr:col>14</xdr:col>
      <xdr:colOff>292365</xdr:colOff>
      <xdr:row>14</xdr:row>
      <xdr:rowOff>136747</xdr:rowOff>
    </xdr:to>
    <xdr:pic>
      <xdr:nvPicPr>
        <xdr:cNvPr id="3" name="Afbeelding 2">
          <a:extLst>
            <a:ext uri="{FF2B5EF4-FFF2-40B4-BE49-F238E27FC236}">
              <a16:creationId xmlns:a16="http://schemas.microsoft.com/office/drawing/2014/main" id="{A1605C47-C828-417B-9954-B0D581B1E673}"/>
            </a:ext>
          </a:extLst>
        </xdr:cNvPr>
        <xdr:cNvPicPr>
          <a:picLocks noChangeAspect="1"/>
        </xdr:cNvPicPr>
      </xdr:nvPicPr>
      <xdr:blipFill>
        <a:blip xmlns:r="http://schemas.openxmlformats.org/officeDocument/2006/relationships" r:embed="rId1"/>
        <a:stretch>
          <a:fillRect/>
        </a:stretch>
      </xdr:blipFill>
      <xdr:spPr>
        <a:xfrm>
          <a:off x="9224857" y="1474046"/>
          <a:ext cx="5160064" cy="1760654"/>
        </a:xfrm>
        <a:prstGeom prst="rect">
          <a:avLst/>
        </a:prstGeom>
      </xdr:spPr>
    </xdr:pic>
    <xdr:clientData/>
  </xdr:twoCellAnchor>
  <xdr:twoCellAnchor editAs="oneCell">
    <xdr:from>
      <xdr:col>6</xdr:col>
      <xdr:colOff>339706</xdr:colOff>
      <xdr:row>17</xdr:row>
      <xdr:rowOff>21665</xdr:rowOff>
    </xdr:from>
    <xdr:to>
      <xdr:col>14</xdr:col>
      <xdr:colOff>288498</xdr:colOff>
      <xdr:row>27</xdr:row>
      <xdr:rowOff>55359</xdr:rowOff>
    </xdr:to>
    <xdr:pic>
      <xdr:nvPicPr>
        <xdr:cNvPr id="4" name="Afbeelding 3">
          <a:extLst>
            <a:ext uri="{FF2B5EF4-FFF2-40B4-BE49-F238E27FC236}">
              <a16:creationId xmlns:a16="http://schemas.microsoft.com/office/drawing/2014/main" id="{8AF804DE-4E2C-49F4-9DE8-F2389B6DC967}"/>
            </a:ext>
          </a:extLst>
        </xdr:cNvPr>
        <xdr:cNvPicPr>
          <a:picLocks noChangeAspect="1"/>
        </xdr:cNvPicPr>
      </xdr:nvPicPr>
      <xdr:blipFill>
        <a:blip xmlns:r="http://schemas.openxmlformats.org/officeDocument/2006/relationships" r:embed="rId2"/>
        <a:stretch>
          <a:fillRect/>
        </a:stretch>
      </xdr:blipFill>
      <xdr:spPr>
        <a:xfrm>
          <a:off x="9197956" y="3291915"/>
          <a:ext cx="5175478" cy="1994363"/>
        </a:xfrm>
        <a:prstGeom prst="rect">
          <a:avLst/>
        </a:prstGeom>
      </xdr:spPr>
    </xdr:pic>
    <xdr:clientData/>
  </xdr:twoCellAnchor>
  <xdr:twoCellAnchor>
    <xdr:from>
      <xdr:col>1</xdr:col>
      <xdr:colOff>480060</xdr:colOff>
      <xdr:row>22</xdr:row>
      <xdr:rowOff>106680</xdr:rowOff>
    </xdr:from>
    <xdr:to>
      <xdr:col>1</xdr:col>
      <xdr:colOff>2682240</xdr:colOff>
      <xdr:row>27</xdr:row>
      <xdr:rowOff>137160</xdr:rowOff>
    </xdr:to>
    <xdr:pic>
      <xdr:nvPicPr>
        <xdr:cNvPr id="6" name="Afbeelding 3">
          <a:extLst>
            <a:ext uri="{FF2B5EF4-FFF2-40B4-BE49-F238E27FC236}">
              <a16:creationId xmlns:a16="http://schemas.microsoft.com/office/drawing/2014/main" id="{A4485752-6421-475A-9169-046427691D1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47750" y="4991100"/>
          <a:ext cx="2209800" cy="933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21167</xdr:colOff>
      <xdr:row>30</xdr:row>
      <xdr:rowOff>95249</xdr:rowOff>
    </xdr:from>
    <xdr:to>
      <xdr:col>16</xdr:col>
      <xdr:colOff>594359</xdr:colOff>
      <xdr:row>40</xdr:row>
      <xdr:rowOff>57619</xdr:rowOff>
    </xdr:to>
    <xdr:pic>
      <xdr:nvPicPr>
        <xdr:cNvPr id="7" name="Afbeelding 6">
          <a:extLst>
            <a:ext uri="{FF2B5EF4-FFF2-40B4-BE49-F238E27FC236}">
              <a16:creationId xmlns:a16="http://schemas.microsoft.com/office/drawing/2014/main" id="{01ACDDDC-432A-4DDF-BB9D-740CD7A72B21}"/>
            </a:ext>
          </a:extLst>
        </xdr:cNvPr>
        <xdr:cNvPicPr>
          <a:picLocks noChangeAspect="1"/>
        </xdr:cNvPicPr>
      </xdr:nvPicPr>
      <xdr:blipFill>
        <a:blip xmlns:r="http://schemas.openxmlformats.org/officeDocument/2006/relationships" r:embed="rId4"/>
        <a:stretch>
          <a:fillRect/>
        </a:stretch>
      </xdr:blipFill>
      <xdr:spPr>
        <a:xfrm>
          <a:off x="9493250" y="6476999"/>
          <a:ext cx="6423236" cy="176534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1463040</xdr:colOff>
      <xdr:row>2</xdr:row>
      <xdr:rowOff>226694</xdr:rowOff>
    </xdr:from>
    <xdr:to>
      <xdr:col>10</xdr:col>
      <xdr:colOff>627840</xdr:colOff>
      <xdr:row>9</xdr:row>
      <xdr:rowOff>125064</xdr:rowOff>
    </xdr:to>
    <xdr:pic>
      <xdr:nvPicPr>
        <xdr:cNvPr id="2" name="Afbeelding 1">
          <a:extLst>
            <a:ext uri="{FF2B5EF4-FFF2-40B4-BE49-F238E27FC236}">
              <a16:creationId xmlns:a16="http://schemas.microsoft.com/office/drawing/2014/main" id="{DFD4FC84-8F40-8FA6-4863-672A2E853D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67815" y="750569"/>
          <a:ext cx="6480000" cy="149857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255269</xdr:colOff>
      <xdr:row>3</xdr:row>
      <xdr:rowOff>9525</xdr:rowOff>
    </xdr:from>
    <xdr:to>
      <xdr:col>9</xdr:col>
      <xdr:colOff>288749</xdr:colOff>
      <xdr:row>9</xdr:row>
      <xdr:rowOff>20569</xdr:rowOff>
    </xdr:to>
    <xdr:pic>
      <xdr:nvPicPr>
        <xdr:cNvPr id="2" name="Afbeelding 1">
          <a:extLst>
            <a:ext uri="{FF2B5EF4-FFF2-40B4-BE49-F238E27FC236}">
              <a16:creationId xmlns:a16="http://schemas.microsoft.com/office/drawing/2014/main" id="{B1638CF9-51D3-3220-57D7-43F1CEAB55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0044" y="762000"/>
          <a:ext cx="6489525" cy="1378834"/>
        </a:xfrm>
        <a:prstGeom prst="rect">
          <a:avLst/>
        </a:prstGeom>
      </xdr:spPr>
    </xdr:pic>
    <xdr:clientData/>
  </xdr:twoCellAnchor>
  <xdr:twoCellAnchor editAs="oneCell">
    <xdr:from>
      <xdr:col>9</xdr:col>
      <xdr:colOff>861058</xdr:colOff>
      <xdr:row>2</xdr:row>
      <xdr:rowOff>224790</xdr:rowOff>
    </xdr:from>
    <xdr:to>
      <xdr:col>16</xdr:col>
      <xdr:colOff>1277443</xdr:colOff>
      <xdr:row>9</xdr:row>
      <xdr:rowOff>21499</xdr:rowOff>
    </xdr:to>
    <xdr:pic>
      <xdr:nvPicPr>
        <xdr:cNvPr id="3" name="Afbeelding 2">
          <a:extLst>
            <a:ext uri="{FF2B5EF4-FFF2-40B4-BE49-F238E27FC236}">
              <a16:creationId xmlns:a16="http://schemas.microsoft.com/office/drawing/2014/main" id="{8323832A-F80B-8D43-E4CF-28CFFAB9173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414258" y="748665"/>
          <a:ext cx="6480000" cy="1400719"/>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CC5DD-1E0E-481F-927C-EC73CD8A3787}">
  <dimension ref="A1:T43"/>
  <sheetViews>
    <sheetView tabSelected="1" topLeftCell="A4" zoomScaleNormal="100" workbookViewId="0">
      <selection activeCell="F13" sqref="F13"/>
    </sheetView>
  </sheetViews>
  <sheetFormatPr defaultRowHeight="15" x14ac:dyDescent="0.25"/>
  <cols>
    <col min="1" max="1" width="8.28515625" style="9" bestFit="1" customWidth="1"/>
    <col min="2" max="2" width="82.42578125" customWidth="1"/>
    <col min="3" max="3" width="12.28515625" style="3" bestFit="1" customWidth="1"/>
    <col min="4" max="4" width="11.7109375" style="3" bestFit="1" customWidth="1"/>
    <col min="5" max="6" width="11.7109375" style="3" customWidth="1"/>
    <col min="7" max="8" width="10.85546875" style="3" customWidth="1"/>
    <col min="9" max="9" width="3.28515625" customWidth="1"/>
    <col min="11" max="11" width="11.5703125" customWidth="1"/>
    <col min="13" max="13" width="10" customWidth="1"/>
    <col min="20" max="20" width="21.28515625" customWidth="1"/>
  </cols>
  <sheetData>
    <row r="1" spans="1:20" ht="18.75" x14ac:dyDescent="0.3">
      <c r="A1" s="114" t="s">
        <v>101</v>
      </c>
      <c r="B1" s="114"/>
      <c r="C1" s="114"/>
      <c r="D1" s="114"/>
      <c r="E1" s="114"/>
      <c r="F1" s="114"/>
      <c r="G1" s="114"/>
      <c r="H1" s="109"/>
    </row>
    <row r="2" spans="1:20" s="6" customFormat="1" ht="54.6" customHeight="1" x14ac:dyDescent="0.25">
      <c r="A2" s="8" t="s">
        <v>0</v>
      </c>
      <c r="B2" s="5" t="s">
        <v>1</v>
      </c>
      <c r="C2" s="5" t="s">
        <v>78</v>
      </c>
      <c r="D2" s="5" t="s">
        <v>79</v>
      </c>
      <c r="E2" s="8" t="s">
        <v>87</v>
      </c>
      <c r="F2" s="8" t="s">
        <v>88</v>
      </c>
      <c r="G2" s="8" t="s">
        <v>80</v>
      </c>
      <c r="H2" s="8" t="s">
        <v>81</v>
      </c>
    </row>
    <row r="4" spans="1:20" x14ac:dyDescent="0.25">
      <c r="A4" s="17"/>
      <c r="B4" s="2" t="s">
        <v>3</v>
      </c>
      <c r="K4" s="12" t="s">
        <v>96</v>
      </c>
      <c r="L4" s="16"/>
      <c r="M4" s="12" t="s">
        <v>4</v>
      </c>
    </row>
    <row r="5" spans="1:20" x14ac:dyDescent="0.25">
      <c r="A5" s="18"/>
      <c r="B5" t="s">
        <v>76</v>
      </c>
      <c r="C5" s="14">
        <v>9.5</v>
      </c>
      <c r="D5" s="14">
        <v>9.5</v>
      </c>
      <c r="E5" s="14">
        <f>C5*A5</f>
        <v>0</v>
      </c>
      <c r="F5" s="14">
        <f>D5*A5</f>
        <v>0</v>
      </c>
      <c r="G5" s="14">
        <f>C5*0.23*3*A5</f>
        <v>0</v>
      </c>
      <c r="H5" s="14">
        <f>D5*0.23*3*A5</f>
        <v>0</v>
      </c>
      <c r="T5" s="1"/>
    </row>
    <row r="6" spans="1:20" x14ac:dyDescent="0.25">
      <c r="A6" s="18"/>
      <c r="B6" t="s">
        <v>75</v>
      </c>
      <c r="C6" s="14">
        <v>8</v>
      </c>
      <c r="D6" s="14">
        <v>7.3</v>
      </c>
      <c r="E6" s="14">
        <f t="shared" ref="E6:E8" si="0">C6*A6</f>
        <v>0</v>
      </c>
      <c r="F6" s="14">
        <f t="shared" ref="F6:F8" si="1">D6*A6</f>
        <v>0</v>
      </c>
      <c r="G6" s="14">
        <f t="shared" ref="G6:G8" si="2">C6*0.23*3*A6</f>
        <v>0</v>
      </c>
      <c r="H6" s="14">
        <f t="shared" ref="H6:H8" si="3">D6*0.23*3*A6</f>
        <v>0</v>
      </c>
      <c r="T6" s="1"/>
    </row>
    <row r="7" spans="1:20" x14ac:dyDescent="0.25">
      <c r="A7" s="18"/>
      <c r="B7" t="s">
        <v>5</v>
      </c>
      <c r="C7" s="14">
        <v>7</v>
      </c>
      <c r="D7" s="14">
        <v>7.3</v>
      </c>
      <c r="E7" s="14">
        <f t="shared" si="0"/>
        <v>0</v>
      </c>
      <c r="F7" s="14">
        <f t="shared" si="1"/>
        <v>0</v>
      </c>
      <c r="G7" s="14">
        <f t="shared" si="2"/>
        <v>0</v>
      </c>
      <c r="H7" s="14">
        <f t="shared" si="3"/>
        <v>0</v>
      </c>
      <c r="T7" s="1"/>
    </row>
    <row r="8" spans="1:20" x14ac:dyDescent="0.25">
      <c r="A8" s="18"/>
      <c r="B8" t="s">
        <v>74</v>
      </c>
      <c r="C8" s="14">
        <v>7.6</v>
      </c>
      <c r="D8" s="14">
        <v>7.3</v>
      </c>
      <c r="E8" s="14">
        <f t="shared" si="0"/>
        <v>0</v>
      </c>
      <c r="F8" s="14">
        <f t="shared" si="1"/>
        <v>0</v>
      </c>
      <c r="G8" s="14">
        <f t="shared" si="2"/>
        <v>0</v>
      </c>
      <c r="H8" s="14">
        <f t="shared" si="3"/>
        <v>0</v>
      </c>
      <c r="T8" s="1"/>
    </row>
    <row r="9" spans="1:20" x14ac:dyDescent="0.25">
      <c r="A9" s="17"/>
      <c r="C9" s="4"/>
      <c r="D9" s="4"/>
      <c r="E9" s="4"/>
      <c r="F9" s="4"/>
      <c r="G9" s="4"/>
      <c r="H9" s="4"/>
      <c r="T9" s="1"/>
    </row>
    <row r="10" spans="1:20" x14ac:dyDescent="0.25">
      <c r="A10" s="17"/>
      <c r="B10" s="2" t="s">
        <v>6</v>
      </c>
      <c r="C10" s="4"/>
      <c r="D10" s="4"/>
      <c r="E10" s="4"/>
      <c r="F10" s="4"/>
      <c r="G10" s="4"/>
      <c r="H10" s="4"/>
    </row>
    <row r="11" spans="1:20" x14ac:dyDescent="0.25">
      <c r="A11" s="18"/>
      <c r="B11" t="s">
        <v>76</v>
      </c>
      <c r="C11" s="14">
        <v>3.3</v>
      </c>
      <c r="D11" s="14">
        <v>9.5</v>
      </c>
      <c r="E11" s="14">
        <f>C11*A11</f>
        <v>0</v>
      </c>
      <c r="F11" s="14">
        <f>D11*A11</f>
        <v>0</v>
      </c>
      <c r="G11" s="14">
        <f t="shared" ref="G11:G14" si="4">C11*0.23*3*A11</f>
        <v>0</v>
      </c>
      <c r="H11" s="14">
        <f>D11*0.23*3*A11</f>
        <v>0</v>
      </c>
    </row>
    <row r="12" spans="1:20" x14ac:dyDescent="0.25">
      <c r="A12" s="18"/>
      <c r="B12" t="s">
        <v>77</v>
      </c>
      <c r="C12" s="14">
        <v>3.3</v>
      </c>
      <c r="D12" s="14">
        <v>7.3</v>
      </c>
      <c r="E12" s="14">
        <f t="shared" ref="E12:E14" si="5">C12*A12</f>
        <v>0</v>
      </c>
      <c r="F12" s="14">
        <f t="shared" ref="F12:F14" si="6">D12*A12</f>
        <v>0</v>
      </c>
      <c r="G12" s="14">
        <f t="shared" si="4"/>
        <v>0</v>
      </c>
      <c r="H12" s="14">
        <f t="shared" ref="H12:H14" si="7">D12*0.23*3*A12</f>
        <v>0</v>
      </c>
    </row>
    <row r="13" spans="1:20" x14ac:dyDescent="0.25">
      <c r="A13" s="18"/>
      <c r="B13" t="s">
        <v>5</v>
      </c>
      <c r="C13" s="14">
        <v>3.3</v>
      </c>
      <c r="D13" s="14">
        <v>7.3</v>
      </c>
      <c r="E13" s="14">
        <f t="shared" si="5"/>
        <v>0</v>
      </c>
      <c r="F13" s="14">
        <f t="shared" si="6"/>
        <v>0</v>
      </c>
      <c r="G13" s="14">
        <f t="shared" si="4"/>
        <v>0</v>
      </c>
      <c r="H13" s="14">
        <f t="shared" si="7"/>
        <v>0</v>
      </c>
    </row>
    <row r="14" spans="1:20" x14ac:dyDescent="0.25">
      <c r="A14" s="18"/>
      <c r="B14" t="s">
        <v>74</v>
      </c>
      <c r="C14" s="14">
        <v>3.3</v>
      </c>
      <c r="D14" s="14">
        <v>7.3</v>
      </c>
      <c r="E14" s="14">
        <f t="shared" si="5"/>
        <v>0</v>
      </c>
      <c r="F14" s="14">
        <f t="shared" si="6"/>
        <v>0</v>
      </c>
      <c r="G14" s="14">
        <f t="shared" si="4"/>
        <v>0</v>
      </c>
      <c r="H14" s="14">
        <f t="shared" si="7"/>
        <v>0</v>
      </c>
    </row>
    <row r="15" spans="1:20" x14ac:dyDescent="0.25">
      <c r="A15" s="17"/>
      <c r="C15" s="4"/>
      <c r="D15" s="4"/>
      <c r="E15" s="4"/>
      <c r="F15" s="4"/>
      <c r="G15" s="4"/>
      <c r="H15" s="4"/>
    </row>
    <row r="16" spans="1:20" x14ac:dyDescent="0.25">
      <c r="A16" s="17"/>
      <c r="B16" s="2" t="s">
        <v>7</v>
      </c>
      <c r="C16" s="4"/>
      <c r="D16" s="4"/>
      <c r="E16" s="4"/>
      <c r="F16" s="4"/>
      <c r="G16" s="4"/>
      <c r="H16" s="4"/>
    </row>
    <row r="17" spans="1:11" x14ac:dyDescent="0.25">
      <c r="A17" s="18"/>
      <c r="B17" t="s">
        <v>102</v>
      </c>
      <c r="C17" s="14">
        <v>2.8</v>
      </c>
      <c r="D17" s="13"/>
      <c r="E17" s="14">
        <f>C17*A17</f>
        <v>0</v>
      </c>
      <c r="F17" s="13"/>
      <c r="G17" s="14">
        <f t="shared" ref="G17" si="8">C17*0.23*3*A17</f>
        <v>0</v>
      </c>
      <c r="H17" s="13"/>
    </row>
    <row r="18" spans="1:11" x14ac:dyDescent="0.25">
      <c r="A18" s="17"/>
      <c r="B18" t="s">
        <v>82</v>
      </c>
      <c r="C18" s="13"/>
      <c r="D18" s="13"/>
      <c r="E18" s="14">
        <f>G18*1000/(3*230)</f>
        <v>0</v>
      </c>
      <c r="F18" s="13"/>
      <c r="G18" s="11"/>
      <c r="H18" s="13"/>
    </row>
    <row r="19" spans="1:11" x14ac:dyDescent="0.25">
      <c r="A19" s="17"/>
      <c r="C19" s="4"/>
      <c r="D19" s="4"/>
      <c r="E19" s="4"/>
      <c r="F19" s="4"/>
      <c r="G19" s="4"/>
      <c r="H19" s="4"/>
    </row>
    <row r="20" spans="1:11" x14ac:dyDescent="0.25">
      <c r="A20" s="17"/>
      <c r="B20" s="2" t="s">
        <v>9</v>
      </c>
      <c r="C20" s="4"/>
      <c r="D20" s="4"/>
      <c r="E20" s="4"/>
      <c r="F20" s="4"/>
      <c r="G20" s="4"/>
      <c r="H20" s="4"/>
    </row>
    <row r="21" spans="1:11" x14ac:dyDescent="0.25">
      <c r="A21" s="18"/>
      <c r="B21" t="s">
        <v>102</v>
      </c>
      <c r="C21" s="14">
        <v>5.5</v>
      </c>
      <c r="D21" s="13"/>
      <c r="E21" s="14">
        <f>C21*A21</f>
        <v>0</v>
      </c>
      <c r="F21" s="13"/>
      <c r="G21" s="14">
        <f t="shared" ref="G21" si="9">C21*0.23*3*A21</f>
        <v>0</v>
      </c>
      <c r="H21" s="13"/>
    </row>
    <row r="22" spans="1:11" x14ac:dyDescent="0.25">
      <c r="A22" s="17"/>
      <c r="B22" s="2"/>
      <c r="C22" s="4"/>
      <c r="D22" s="4"/>
      <c r="E22" s="4"/>
      <c r="F22" s="4"/>
      <c r="G22" s="4"/>
      <c r="H22" s="4"/>
    </row>
    <row r="23" spans="1:11" x14ac:dyDescent="0.25">
      <c r="A23" s="17"/>
      <c r="B23" s="2" t="s">
        <v>10</v>
      </c>
      <c r="C23" s="4"/>
      <c r="D23" s="4"/>
      <c r="E23" s="4"/>
      <c r="F23" s="4"/>
      <c r="G23" s="4"/>
      <c r="H23" s="4"/>
    </row>
    <row r="24" spans="1:11" x14ac:dyDescent="0.25">
      <c r="A24" s="17"/>
      <c r="B24" t="s">
        <v>11</v>
      </c>
      <c r="C24" s="13"/>
      <c r="D24" s="13"/>
      <c r="E24" s="14">
        <f>G24*1000/(3*230)</f>
        <v>0</v>
      </c>
      <c r="F24" s="13"/>
      <c r="G24" s="11"/>
      <c r="H24" s="13"/>
    </row>
    <row r="25" spans="1:11" x14ac:dyDescent="0.25">
      <c r="A25" s="17"/>
      <c r="C25" s="4"/>
      <c r="D25" s="4"/>
      <c r="E25" s="4"/>
      <c r="F25" s="4"/>
      <c r="G25" s="4"/>
      <c r="H25" s="4"/>
    </row>
    <row r="26" spans="1:11" x14ac:dyDescent="0.25">
      <c r="A26" s="17"/>
      <c r="B26" s="2" t="s">
        <v>12</v>
      </c>
      <c r="C26" s="4"/>
      <c r="D26" s="4"/>
      <c r="E26" s="4"/>
      <c r="F26" s="4"/>
      <c r="G26" s="4"/>
      <c r="H26" s="4"/>
    </row>
    <row r="27" spans="1:11" x14ac:dyDescent="0.25">
      <c r="A27" s="18"/>
      <c r="B27" t="s">
        <v>103</v>
      </c>
      <c r="C27" s="14">
        <v>32</v>
      </c>
      <c r="D27" s="14">
        <v>32</v>
      </c>
      <c r="E27" s="14">
        <f t="shared" ref="E27:E28" si="10">C27*A27</f>
        <v>0</v>
      </c>
      <c r="F27" s="14">
        <f t="shared" ref="F27:F28" si="11">D27*A27</f>
        <v>0</v>
      </c>
      <c r="G27" s="14">
        <f t="shared" ref="G27:G28" si="12">C27*0.23*3*A27</f>
        <v>0</v>
      </c>
      <c r="H27" s="14">
        <f t="shared" ref="H27:H28" si="13">D27*0.23*3*A27</f>
        <v>0</v>
      </c>
    </row>
    <row r="28" spans="1:11" x14ac:dyDescent="0.25">
      <c r="A28" s="18"/>
      <c r="B28" t="s">
        <v>104</v>
      </c>
      <c r="C28" s="14">
        <v>44</v>
      </c>
      <c r="D28" s="14">
        <v>44</v>
      </c>
      <c r="E28" s="14">
        <f t="shared" si="10"/>
        <v>0</v>
      </c>
      <c r="F28" s="14">
        <f t="shared" si="11"/>
        <v>0</v>
      </c>
      <c r="G28" s="14">
        <f t="shared" si="12"/>
        <v>0</v>
      </c>
      <c r="H28" s="14">
        <f t="shared" si="13"/>
        <v>0</v>
      </c>
    </row>
    <row r="29" spans="1:11" x14ac:dyDescent="0.25">
      <c r="A29" s="18"/>
      <c r="B29" t="s">
        <v>105</v>
      </c>
      <c r="C29" s="14">
        <v>65</v>
      </c>
      <c r="D29" s="14">
        <v>65</v>
      </c>
      <c r="E29" s="14">
        <f>C29*A29</f>
        <v>0</v>
      </c>
      <c r="F29" s="14">
        <f>D29*A29</f>
        <v>0</v>
      </c>
      <c r="G29" s="14">
        <f t="shared" ref="G29" si="14">C29*0.23*3*A29</f>
        <v>0</v>
      </c>
      <c r="H29" s="14">
        <f>D29*0.23*3*A29</f>
        <v>0</v>
      </c>
      <c r="K29" t="s">
        <v>108</v>
      </c>
    </row>
    <row r="30" spans="1:11" x14ac:dyDescent="0.25">
      <c r="A30" s="17"/>
      <c r="C30" s="4"/>
      <c r="D30" s="4"/>
      <c r="E30" s="4"/>
      <c r="F30" s="4"/>
      <c r="G30" s="4"/>
      <c r="H30" s="4"/>
    </row>
    <row r="31" spans="1:11" x14ac:dyDescent="0.25">
      <c r="A31" s="17"/>
      <c r="B31" s="2" t="s">
        <v>13</v>
      </c>
      <c r="C31" s="4"/>
      <c r="D31" s="4"/>
      <c r="E31" s="4"/>
      <c r="F31" s="4"/>
      <c r="G31" s="4"/>
      <c r="H31" s="4"/>
    </row>
    <row r="32" spans="1:11" x14ac:dyDescent="0.25">
      <c r="A32" s="18"/>
      <c r="B32" t="s">
        <v>106</v>
      </c>
      <c r="C32" s="14">
        <v>138</v>
      </c>
      <c r="D32" s="14">
        <v>138</v>
      </c>
      <c r="E32" s="14">
        <f>C32*A32</f>
        <v>0</v>
      </c>
      <c r="F32" s="14">
        <f>D32*A32</f>
        <v>0</v>
      </c>
      <c r="G32" s="14">
        <f t="shared" ref="G32" si="15">C32*0.23*3*A32</f>
        <v>0</v>
      </c>
      <c r="H32" s="14">
        <f>D32*0.23*3*A32</f>
        <v>0</v>
      </c>
    </row>
    <row r="33" spans="1:9" x14ac:dyDescent="0.25">
      <c r="A33" s="18"/>
      <c r="B33" t="s">
        <v>107</v>
      </c>
      <c r="C33" s="14">
        <v>210</v>
      </c>
      <c r="D33" s="14">
        <v>210</v>
      </c>
      <c r="E33" s="14">
        <f>C33*A33</f>
        <v>0</v>
      </c>
      <c r="F33" s="14">
        <f>D33*A33</f>
        <v>0</v>
      </c>
      <c r="G33" s="14">
        <f t="shared" ref="G33" si="16">C33*0.23*3*A33</f>
        <v>0</v>
      </c>
      <c r="H33" s="14">
        <f>D33*0.23*3*A33</f>
        <v>0</v>
      </c>
    </row>
    <row r="34" spans="1:9" x14ac:dyDescent="0.25">
      <c r="A34" s="17"/>
      <c r="C34" s="4"/>
      <c r="D34" s="4"/>
      <c r="E34" s="4"/>
      <c r="F34" s="4"/>
      <c r="G34" s="4"/>
      <c r="H34" s="4"/>
    </row>
    <row r="35" spans="1:9" x14ac:dyDescent="0.25">
      <c r="A35" s="17"/>
      <c r="B35" s="2" t="s">
        <v>83</v>
      </c>
      <c r="C35" s="4"/>
      <c r="D35" s="4"/>
      <c r="E35" s="4"/>
      <c r="F35" s="4"/>
      <c r="G35" s="4"/>
      <c r="H35" s="4"/>
    </row>
    <row r="36" spans="1:9" x14ac:dyDescent="0.25">
      <c r="A36" s="18"/>
      <c r="B36" t="s">
        <v>84</v>
      </c>
      <c r="C36" s="14">
        <v>3.8</v>
      </c>
      <c r="D36" s="13"/>
      <c r="E36" s="14">
        <f t="shared" ref="E36" si="17">C36*A36</f>
        <v>0</v>
      </c>
      <c r="F36" s="13"/>
      <c r="G36" s="14">
        <f>C36*0.23*3*A36</f>
        <v>0</v>
      </c>
      <c r="H36" s="13"/>
    </row>
    <row r="38" spans="1:9" ht="15.75" x14ac:dyDescent="0.25">
      <c r="B38" s="7" t="s">
        <v>89</v>
      </c>
      <c r="C38" s="111">
        <f>SUM(E5:E36)</f>
        <v>0</v>
      </c>
    </row>
    <row r="39" spans="1:9" ht="15.75" x14ac:dyDescent="0.25">
      <c r="B39" s="7" t="s">
        <v>90</v>
      </c>
      <c r="C39" s="111">
        <f>SUM(F5:F36)</f>
        <v>0</v>
      </c>
    </row>
    <row r="40" spans="1:9" ht="15.75" x14ac:dyDescent="0.25">
      <c r="B40" s="7" t="s">
        <v>85</v>
      </c>
      <c r="C40" s="15">
        <f>SUM(G5:G36)</f>
        <v>0</v>
      </c>
      <c r="D40" s="110"/>
      <c r="E40" s="110"/>
      <c r="F40" s="110"/>
      <c r="I40" s="12"/>
    </row>
    <row r="41" spans="1:9" ht="15.75" x14ac:dyDescent="0.25">
      <c r="B41" s="7" t="s">
        <v>86</v>
      </c>
      <c r="C41" s="15">
        <f>SUM(H5:H36)</f>
        <v>0</v>
      </c>
      <c r="D41" s="12"/>
      <c r="E41" s="12"/>
      <c r="F41" s="12"/>
      <c r="G41" s="12"/>
      <c r="H41" s="12"/>
      <c r="I41" s="12"/>
    </row>
    <row r="42" spans="1:9" ht="15.75" x14ac:dyDescent="0.25">
      <c r="B42" s="7" t="s">
        <v>93</v>
      </c>
      <c r="C42" s="111">
        <f>MAX(C40:C41)/630</f>
        <v>0</v>
      </c>
      <c r="D42" s="10"/>
      <c r="E42" s="10"/>
      <c r="F42" s="10"/>
      <c r="G42" s="10"/>
      <c r="H42" s="10"/>
    </row>
    <row r="43" spans="1:9" ht="15.75" x14ac:dyDescent="0.25">
      <c r="B43" s="7"/>
      <c r="C43" s="112"/>
    </row>
  </sheetData>
  <mergeCells count="1">
    <mergeCell ref="A1:G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61365-54EA-4EA8-BB58-9DE04AF5C984}">
  <dimension ref="A1:T39"/>
  <sheetViews>
    <sheetView zoomScale="85" zoomScaleNormal="85" workbookViewId="0">
      <selection activeCell="B22" sqref="B22"/>
    </sheetView>
  </sheetViews>
  <sheetFormatPr defaultRowHeight="15" x14ac:dyDescent="0.25"/>
  <cols>
    <col min="1" max="1" width="8.28515625" style="9" bestFit="1" customWidth="1"/>
    <col min="2" max="2" width="82.42578125" customWidth="1"/>
    <col min="3" max="3" width="12.28515625" style="3" bestFit="1" customWidth="1"/>
    <col min="4" max="4" width="11.7109375" style="3" bestFit="1" customWidth="1"/>
    <col min="5" max="6" width="11.7109375" style="3" customWidth="1"/>
    <col min="7" max="8" width="10.85546875" style="3" customWidth="1"/>
    <col min="9" max="9" width="3.28515625" customWidth="1"/>
    <col min="11" max="11" width="12.42578125" customWidth="1"/>
    <col min="13" max="13" width="10" customWidth="1"/>
    <col min="20" max="20" width="21.28515625" customWidth="1"/>
  </cols>
  <sheetData>
    <row r="1" spans="1:20" ht="18.75" x14ac:dyDescent="0.3">
      <c r="A1" s="114" t="s">
        <v>100</v>
      </c>
      <c r="B1" s="114"/>
      <c r="C1" s="114"/>
      <c r="D1" s="114"/>
      <c r="E1" s="114"/>
      <c r="F1" s="114"/>
      <c r="G1" s="114"/>
      <c r="H1" s="109"/>
    </row>
    <row r="2" spans="1:20" s="6" customFormat="1" ht="54.6" customHeight="1" x14ac:dyDescent="0.25">
      <c r="A2" s="8" t="s">
        <v>0</v>
      </c>
      <c r="B2" s="5" t="s">
        <v>1</v>
      </c>
      <c r="C2" s="5" t="s">
        <v>78</v>
      </c>
      <c r="D2" s="5" t="s">
        <v>79</v>
      </c>
      <c r="E2" s="8" t="s">
        <v>91</v>
      </c>
      <c r="F2" s="8" t="s">
        <v>92</v>
      </c>
      <c r="G2" s="8" t="s">
        <v>94</v>
      </c>
      <c r="H2" s="8" t="s">
        <v>95</v>
      </c>
    </row>
    <row r="4" spans="1:20" x14ac:dyDescent="0.25">
      <c r="A4" s="17"/>
      <c r="B4" s="2" t="s">
        <v>3</v>
      </c>
      <c r="K4" s="12" t="s">
        <v>96</v>
      </c>
      <c r="L4" s="16"/>
      <c r="M4" s="12" t="s">
        <v>4</v>
      </c>
    </row>
    <row r="5" spans="1:20" x14ac:dyDescent="0.25">
      <c r="A5" s="18"/>
      <c r="B5" t="s">
        <v>76</v>
      </c>
      <c r="C5" s="14">
        <v>10.3</v>
      </c>
      <c r="D5" s="14">
        <v>9.8000000000000007</v>
      </c>
      <c r="E5" s="14">
        <f>C5*A5</f>
        <v>0</v>
      </c>
      <c r="F5" s="14">
        <f>D5*A5</f>
        <v>0</v>
      </c>
      <c r="G5" s="14">
        <f>C5*0.23*3*A5</f>
        <v>0</v>
      </c>
      <c r="H5" s="14">
        <f>D5*0.23*3*A5</f>
        <v>0</v>
      </c>
      <c r="T5" s="1"/>
    </row>
    <row r="6" spans="1:20" x14ac:dyDescent="0.25">
      <c r="A6" s="18"/>
      <c r="B6" t="s">
        <v>75</v>
      </c>
      <c r="C6" s="14">
        <v>8.8000000000000007</v>
      </c>
      <c r="D6" s="14">
        <v>7.5</v>
      </c>
      <c r="E6" s="14">
        <f t="shared" ref="E6:E8" si="0">C6*A6</f>
        <v>0</v>
      </c>
      <c r="F6" s="14">
        <f t="shared" ref="F6:F8" si="1">D6*A6</f>
        <v>0</v>
      </c>
      <c r="G6" s="14">
        <f t="shared" ref="G6:G8" si="2">C6*0.23*3*A6</f>
        <v>0</v>
      </c>
      <c r="H6" s="14">
        <f t="shared" ref="H6:H8" si="3">D6*0.23*3*A6</f>
        <v>0</v>
      </c>
      <c r="T6" s="1"/>
    </row>
    <row r="7" spans="1:20" x14ac:dyDescent="0.25">
      <c r="A7" s="18"/>
      <c r="B7" t="s">
        <v>5</v>
      </c>
      <c r="C7" s="14">
        <v>7.8</v>
      </c>
      <c r="D7" s="14">
        <v>7.5</v>
      </c>
      <c r="E7" s="14">
        <f t="shared" si="0"/>
        <v>0</v>
      </c>
      <c r="F7" s="14">
        <f t="shared" si="1"/>
        <v>0</v>
      </c>
      <c r="G7" s="14">
        <f t="shared" si="2"/>
        <v>0</v>
      </c>
      <c r="H7" s="14">
        <f t="shared" si="3"/>
        <v>0</v>
      </c>
      <c r="T7" s="1"/>
    </row>
    <row r="8" spans="1:20" x14ac:dyDescent="0.25">
      <c r="A8" s="18"/>
      <c r="B8" t="s">
        <v>74</v>
      </c>
      <c r="C8" s="14">
        <v>8.4</v>
      </c>
      <c r="D8" s="14">
        <v>7.5</v>
      </c>
      <c r="E8" s="14">
        <f t="shared" si="0"/>
        <v>0</v>
      </c>
      <c r="F8" s="14">
        <f t="shared" si="1"/>
        <v>0</v>
      </c>
      <c r="G8" s="14">
        <f t="shared" si="2"/>
        <v>0</v>
      </c>
      <c r="H8" s="14">
        <f t="shared" si="3"/>
        <v>0</v>
      </c>
      <c r="T8" s="1"/>
    </row>
    <row r="9" spans="1:20" x14ac:dyDescent="0.25">
      <c r="A9" s="17"/>
      <c r="C9" s="4"/>
      <c r="D9" s="4"/>
      <c r="E9" s="4"/>
      <c r="F9" s="4"/>
      <c r="G9" s="4"/>
      <c r="H9" s="4"/>
      <c r="T9" s="1"/>
    </row>
    <row r="10" spans="1:20" x14ac:dyDescent="0.25">
      <c r="A10" s="17"/>
      <c r="B10" s="2" t="s">
        <v>6</v>
      </c>
      <c r="C10" s="4"/>
      <c r="D10" s="4"/>
      <c r="E10" s="4"/>
      <c r="F10" s="4"/>
      <c r="G10" s="4"/>
      <c r="H10" s="4"/>
    </row>
    <row r="11" spans="1:20" x14ac:dyDescent="0.25">
      <c r="A11" s="18"/>
      <c r="B11" t="s">
        <v>76</v>
      </c>
      <c r="C11" s="14">
        <v>4.0999999999999996</v>
      </c>
      <c r="D11" s="14">
        <v>9.8000000000000007</v>
      </c>
      <c r="E11" s="14">
        <f>C11*A11</f>
        <v>0</v>
      </c>
      <c r="F11" s="14">
        <f>D11*A11</f>
        <v>0</v>
      </c>
      <c r="G11" s="14">
        <f t="shared" ref="G11:G14" si="4">C11*0.23*3*A11</f>
        <v>0</v>
      </c>
      <c r="H11" s="14">
        <f>D11*0.23*3*A11</f>
        <v>0</v>
      </c>
    </row>
    <row r="12" spans="1:20" x14ac:dyDescent="0.25">
      <c r="A12" s="18"/>
      <c r="B12" t="s">
        <v>77</v>
      </c>
      <c r="C12" s="14">
        <v>4.0999999999999996</v>
      </c>
      <c r="D12" s="14">
        <v>7.5</v>
      </c>
      <c r="E12" s="14">
        <f t="shared" ref="E12:E14" si="5">C12*A12</f>
        <v>0</v>
      </c>
      <c r="F12" s="14">
        <f t="shared" ref="F12:F14" si="6">D12*A12</f>
        <v>0</v>
      </c>
      <c r="G12" s="14">
        <f t="shared" si="4"/>
        <v>0</v>
      </c>
      <c r="H12" s="14">
        <f t="shared" ref="H12:H14" si="7">D12*0.23*3*A12</f>
        <v>0</v>
      </c>
    </row>
    <row r="13" spans="1:20" x14ac:dyDescent="0.25">
      <c r="A13" s="18"/>
      <c r="B13" t="s">
        <v>5</v>
      </c>
      <c r="C13" s="14">
        <v>4.0999999999999996</v>
      </c>
      <c r="D13" s="14">
        <v>7.5</v>
      </c>
      <c r="E13" s="14">
        <f t="shared" si="5"/>
        <v>0</v>
      </c>
      <c r="F13" s="14">
        <f t="shared" si="6"/>
        <v>0</v>
      </c>
      <c r="G13" s="14">
        <f t="shared" si="4"/>
        <v>0</v>
      </c>
      <c r="H13" s="14">
        <f t="shared" si="7"/>
        <v>0</v>
      </c>
    </row>
    <row r="14" spans="1:20" x14ac:dyDescent="0.25">
      <c r="A14" s="18"/>
      <c r="B14" t="s">
        <v>74</v>
      </c>
      <c r="C14" s="14">
        <v>4.0999999999999996</v>
      </c>
      <c r="D14" s="14">
        <v>7.5</v>
      </c>
      <c r="E14" s="14">
        <f t="shared" si="5"/>
        <v>0</v>
      </c>
      <c r="F14" s="14">
        <f t="shared" si="6"/>
        <v>0</v>
      </c>
      <c r="G14" s="14">
        <f t="shared" si="4"/>
        <v>0</v>
      </c>
      <c r="H14" s="14">
        <f t="shared" si="7"/>
        <v>0</v>
      </c>
    </row>
    <row r="15" spans="1:20" x14ac:dyDescent="0.25">
      <c r="A15" s="17"/>
      <c r="C15" s="4"/>
      <c r="D15" s="4"/>
      <c r="E15" s="4"/>
      <c r="F15" s="4"/>
      <c r="G15" s="4"/>
      <c r="H15" s="4"/>
    </row>
    <row r="16" spans="1:20" x14ac:dyDescent="0.25">
      <c r="A16" s="17"/>
      <c r="B16" s="2" t="s">
        <v>7</v>
      </c>
      <c r="C16" s="4"/>
      <c r="D16" s="4"/>
      <c r="E16" s="4"/>
      <c r="F16" s="4"/>
      <c r="G16" s="4"/>
      <c r="H16" s="4"/>
    </row>
    <row r="17" spans="1:11" x14ac:dyDescent="0.25">
      <c r="A17" s="18"/>
      <c r="B17" t="s">
        <v>102</v>
      </c>
      <c r="C17" s="14">
        <v>3.5</v>
      </c>
      <c r="D17" s="13"/>
      <c r="E17" s="14">
        <f>C17*A17</f>
        <v>0</v>
      </c>
      <c r="F17" s="13"/>
      <c r="G17" s="14">
        <f t="shared" ref="G17" si="8">C17*0.23*3*A17</f>
        <v>0</v>
      </c>
      <c r="H17" s="13"/>
    </row>
    <row r="18" spans="1:11" x14ac:dyDescent="0.25">
      <c r="A18" s="17"/>
      <c r="B18" t="s">
        <v>82</v>
      </c>
      <c r="C18" s="13"/>
      <c r="D18" s="13"/>
      <c r="E18" s="14">
        <f>G18*3*230/1000</f>
        <v>0</v>
      </c>
      <c r="F18" s="13"/>
      <c r="G18" s="11"/>
      <c r="H18" s="13"/>
    </row>
    <row r="19" spans="1:11" x14ac:dyDescent="0.25">
      <c r="A19" s="17"/>
      <c r="C19" s="4"/>
      <c r="D19" s="4"/>
      <c r="E19" s="4"/>
      <c r="F19" s="4"/>
      <c r="G19" s="4"/>
      <c r="H19" s="4"/>
    </row>
    <row r="20" spans="1:11" x14ac:dyDescent="0.25">
      <c r="A20" s="17"/>
      <c r="B20" s="2" t="s">
        <v>9</v>
      </c>
      <c r="C20" s="4"/>
      <c r="D20" s="4"/>
      <c r="E20" s="4"/>
      <c r="F20" s="4"/>
      <c r="G20" s="4"/>
      <c r="H20" s="4"/>
    </row>
    <row r="21" spans="1:11" x14ac:dyDescent="0.25">
      <c r="A21" s="18"/>
      <c r="B21" t="s">
        <v>102</v>
      </c>
      <c r="C21" s="14">
        <v>6</v>
      </c>
      <c r="D21" s="13"/>
      <c r="E21" s="14">
        <f>C21*A21</f>
        <v>0</v>
      </c>
      <c r="F21" s="13"/>
      <c r="G21" s="14">
        <f t="shared" ref="G21" si="9">C21*0.23*3*A21</f>
        <v>0</v>
      </c>
      <c r="H21" s="13"/>
    </row>
    <row r="22" spans="1:11" x14ac:dyDescent="0.25">
      <c r="A22" s="17"/>
      <c r="B22" s="2"/>
      <c r="C22" s="4"/>
      <c r="D22" s="4"/>
      <c r="E22" s="4"/>
      <c r="F22" s="4"/>
      <c r="G22" s="4"/>
      <c r="H22" s="4"/>
    </row>
    <row r="23" spans="1:11" x14ac:dyDescent="0.25">
      <c r="A23" s="17"/>
      <c r="B23" s="2" t="s">
        <v>10</v>
      </c>
      <c r="C23" s="4"/>
      <c r="D23" s="4"/>
      <c r="E23" s="4"/>
      <c r="F23" s="4"/>
      <c r="G23" s="4"/>
      <c r="H23" s="4"/>
    </row>
    <row r="24" spans="1:11" x14ac:dyDescent="0.25">
      <c r="A24" s="17"/>
      <c r="B24" t="s">
        <v>11</v>
      </c>
      <c r="C24" s="13"/>
      <c r="D24" s="13"/>
      <c r="E24" s="14">
        <f>G24*3*230/1000</f>
        <v>0</v>
      </c>
      <c r="F24" s="13"/>
      <c r="G24" s="11"/>
      <c r="H24" s="13"/>
    </row>
    <row r="25" spans="1:11" x14ac:dyDescent="0.25">
      <c r="A25" s="17"/>
      <c r="C25" s="4"/>
      <c r="D25" s="4"/>
      <c r="E25" s="4"/>
      <c r="F25" s="4"/>
      <c r="G25" s="4"/>
      <c r="H25" s="4"/>
    </row>
    <row r="26" spans="1:11" x14ac:dyDescent="0.25">
      <c r="A26" s="17"/>
      <c r="B26" s="2" t="s">
        <v>12</v>
      </c>
      <c r="C26" s="4"/>
      <c r="D26" s="4"/>
      <c r="E26" s="4"/>
      <c r="F26" s="4"/>
      <c r="G26" s="4"/>
      <c r="H26" s="4"/>
    </row>
    <row r="27" spans="1:11" x14ac:dyDescent="0.25">
      <c r="A27" s="18"/>
      <c r="B27" t="s">
        <v>103</v>
      </c>
      <c r="C27" s="14">
        <v>32</v>
      </c>
      <c r="D27" s="14">
        <v>32</v>
      </c>
      <c r="E27" s="14">
        <f t="shared" ref="E27:E28" si="10">C27*A27</f>
        <v>0</v>
      </c>
      <c r="F27" s="14">
        <f t="shared" ref="F27:F28" si="11">D27*A27</f>
        <v>0</v>
      </c>
      <c r="G27" s="14">
        <f t="shared" ref="G27:G28" si="12">C27*0.23*3*A27</f>
        <v>0</v>
      </c>
      <c r="H27" s="14">
        <f t="shared" ref="H27:H28" si="13">D27*0.23*3*A27</f>
        <v>0</v>
      </c>
    </row>
    <row r="28" spans="1:11" x14ac:dyDescent="0.25">
      <c r="A28" s="18"/>
      <c r="B28" t="s">
        <v>104</v>
      </c>
      <c r="C28" s="14">
        <v>44</v>
      </c>
      <c r="D28" s="14">
        <v>44</v>
      </c>
      <c r="E28" s="14">
        <f t="shared" si="10"/>
        <v>0</v>
      </c>
      <c r="F28" s="14">
        <f t="shared" si="11"/>
        <v>0</v>
      </c>
      <c r="G28" s="14">
        <f t="shared" si="12"/>
        <v>0</v>
      </c>
      <c r="H28" s="14">
        <f t="shared" si="13"/>
        <v>0</v>
      </c>
    </row>
    <row r="29" spans="1:11" x14ac:dyDescent="0.25">
      <c r="A29" s="18"/>
      <c r="B29" t="s">
        <v>105</v>
      </c>
      <c r="C29" s="14">
        <v>65</v>
      </c>
      <c r="D29" s="14">
        <v>65</v>
      </c>
      <c r="E29" s="14">
        <f>C29*A29</f>
        <v>0</v>
      </c>
      <c r="F29" s="14">
        <f>D29*A29</f>
        <v>0</v>
      </c>
      <c r="G29" s="14">
        <f t="shared" ref="G29" si="14">C29*0.23*3*A29</f>
        <v>0</v>
      </c>
      <c r="H29" s="14">
        <f>D29*0.23*3*A29</f>
        <v>0</v>
      </c>
      <c r="K29" t="s">
        <v>108</v>
      </c>
    </row>
    <row r="30" spans="1:11" x14ac:dyDescent="0.25">
      <c r="A30" s="17"/>
      <c r="C30" s="4"/>
      <c r="D30" s="4"/>
      <c r="E30" s="4"/>
      <c r="F30" s="4"/>
      <c r="G30" s="4"/>
      <c r="H30" s="4"/>
    </row>
    <row r="31" spans="1:11" x14ac:dyDescent="0.25">
      <c r="A31" s="17"/>
      <c r="B31" s="2" t="s">
        <v>13</v>
      </c>
      <c r="C31" s="4"/>
      <c r="D31" s="4"/>
      <c r="E31" s="4"/>
      <c r="F31" s="4"/>
      <c r="G31" s="4"/>
      <c r="H31" s="4"/>
    </row>
    <row r="32" spans="1:11" x14ac:dyDescent="0.25">
      <c r="A32" s="18"/>
      <c r="B32" t="s">
        <v>106</v>
      </c>
      <c r="C32" s="14">
        <v>138</v>
      </c>
      <c r="D32" s="14">
        <v>138</v>
      </c>
      <c r="E32" s="14">
        <f>C32*A32</f>
        <v>0</v>
      </c>
      <c r="F32" s="14">
        <f>D32*A32</f>
        <v>0</v>
      </c>
      <c r="G32" s="14">
        <f t="shared" ref="G32" si="15">C32*0.23*3*A32</f>
        <v>0</v>
      </c>
      <c r="H32" s="14">
        <f>D32*0.23*3*A32</f>
        <v>0</v>
      </c>
    </row>
    <row r="33" spans="1:8" x14ac:dyDescent="0.25">
      <c r="A33" s="18"/>
      <c r="B33" t="s">
        <v>107</v>
      </c>
      <c r="C33" s="14">
        <v>210</v>
      </c>
      <c r="D33" s="14">
        <v>210</v>
      </c>
      <c r="E33" s="14">
        <f>C33*A33</f>
        <v>0</v>
      </c>
      <c r="F33" s="14">
        <f>D33*A33</f>
        <v>0</v>
      </c>
      <c r="G33" s="14">
        <f t="shared" ref="G33" si="16">C33*0.23*3*A33</f>
        <v>0</v>
      </c>
      <c r="H33" s="14">
        <f>D33*0.23*3*A33</f>
        <v>0</v>
      </c>
    </row>
    <row r="34" spans="1:8" x14ac:dyDescent="0.25">
      <c r="A34" s="17"/>
      <c r="C34" s="4"/>
      <c r="D34" s="4"/>
      <c r="E34" s="4"/>
      <c r="F34" s="4"/>
      <c r="G34" s="4"/>
      <c r="H34" s="4"/>
    </row>
    <row r="35" spans="1:8" x14ac:dyDescent="0.25">
      <c r="A35" s="17"/>
      <c r="B35" s="2" t="s">
        <v>83</v>
      </c>
      <c r="C35" s="4"/>
      <c r="D35" s="4"/>
      <c r="E35" s="4"/>
      <c r="F35" s="4"/>
      <c r="G35" s="4"/>
      <c r="H35" s="4"/>
    </row>
    <row r="36" spans="1:8" x14ac:dyDescent="0.25">
      <c r="A36" s="18"/>
      <c r="B36" t="s">
        <v>84</v>
      </c>
      <c r="C36" s="14">
        <v>4.5999999999999996</v>
      </c>
      <c r="D36" s="13"/>
      <c r="E36" s="14">
        <f t="shared" ref="E36" si="17">C36*A36</f>
        <v>0</v>
      </c>
      <c r="F36" s="13"/>
      <c r="G36" s="14">
        <f>C36*0.23*3*A36</f>
        <v>0</v>
      </c>
      <c r="H36" s="13"/>
    </row>
    <row r="38" spans="1:8" ht="15.75" x14ac:dyDescent="0.25">
      <c r="B38" s="7" t="s">
        <v>15</v>
      </c>
      <c r="C38" s="111">
        <f>MAX(SUM(E5:E36),SUM(F5:F36))</f>
        <v>0</v>
      </c>
    </row>
    <row r="39" spans="1:8" ht="15.75" x14ac:dyDescent="0.25">
      <c r="B39" s="7"/>
      <c r="C39" s="113"/>
    </row>
  </sheetData>
  <mergeCells count="1">
    <mergeCell ref="A1:G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44FF7-1C1E-413C-8B1D-00626D003F7E}">
  <dimension ref="A1:Q34"/>
  <sheetViews>
    <sheetView zoomScale="90" zoomScaleNormal="90" workbookViewId="0">
      <selection activeCell="C9" sqref="C9"/>
    </sheetView>
  </sheetViews>
  <sheetFormatPr defaultRowHeight="15" x14ac:dyDescent="0.25"/>
  <cols>
    <col min="1" max="1" width="8.28515625" style="9" bestFit="1" customWidth="1"/>
    <col min="2" max="2" width="82.42578125" customWidth="1"/>
    <col min="3" max="3" width="12.28515625" style="3" bestFit="1" customWidth="1"/>
    <col min="4" max="4" width="11.7109375" style="3" customWidth="1"/>
    <col min="5" max="5" width="10.85546875" style="3" customWidth="1"/>
    <col min="6" max="6" width="3.28515625" customWidth="1"/>
    <col min="8" max="8" width="12.5703125" customWidth="1"/>
    <col min="10" max="10" width="10" customWidth="1"/>
    <col min="17" max="17" width="21.28515625" customWidth="1"/>
  </cols>
  <sheetData>
    <row r="1" spans="1:17" ht="18.75" x14ac:dyDescent="0.3">
      <c r="A1" s="114" t="s">
        <v>99</v>
      </c>
      <c r="B1" s="114"/>
      <c r="C1" s="114"/>
      <c r="D1" s="114"/>
      <c r="E1" s="114"/>
    </row>
    <row r="2" spans="1:17" s="6" customFormat="1" ht="54.6" customHeight="1" x14ac:dyDescent="0.25">
      <c r="A2" s="8" t="s">
        <v>0</v>
      </c>
      <c r="B2" s="5" t="s">
        <v>1</v>
      </c>
      <c r="C2" s="5" t="s">
        <v>2</v>
      </c>
      <c r="D2" s="8" t="s">
        <v>97</v>
      </c>
      <c r="E2" s="8" t="s">
        <v>98</v>
      </c>
    </row>
    <row r="4" spans="1:17" x14ac:dyDescent="0.25">
      <c r="A4" s="17"/>
      <c r="B4" s="2" t="s">
        <v>7</v>
      </c>
      <c r="C4" s="4"/>
      <c r="D4" s="4"/>
      <c r="E4" s="4"/>
      <c r="H4" s="12" t="s">
        <v>96</v>
      </c>
      <c r="I4" s="16"/>
      <c r="J4" s="12" t="s">
        <v>4</v>
      </c>
    </row>
    <row r="5" spans="1:17" x14ac:dyDescent="0.25">
      <c r="A5" s="18"/>
      <c r="B5" t="s">
        <v>8</v>
      </c>
      <c r="C5" s="14">
        <v>1.7</v>
      </c>
      <c r="D5" s="14">
        <f>C5*A5</f>
        <v>0</v>
      </c>
      <c r="E5" s="14">
        <f t="shared" ref="E5" si="0">C5*0.23*3*A5</f>
        <v>0</v>
      </c>
      <c r="Q5" s="1"/>
    </row>
    <row r="6" spans="1:17" x14ac:dyDescent="0.25">
      <c r="A6" s="17"/>
      <c r="C6" s="4"/>
      <c r="D6" s="4"/>
      <c r="E6" s="4"/>
      <c r="Q6" s="1"/>
    </row>
    <row r="7" spans="1:17" x14ac:dyDescent="0.25">
      <c r="A7" s="17"/>
      <c r="B7" s="2" t="s">
        <v>9</v>
      </c>
      <c r="C7" s="4"/>
      <c r="D7" s="4"/>
      <c r="E7" s="4"/>
      <c r="Q7" s="1"/>
    </row>
    <row r="8" spans="1:17" x14ac:dyDescent="0.25">
      <c r="A8" s="18"/>
      <c r="B8" t="s">
        <v>8</v>
      </c>
      <c r="C8" s="14">
        <v>4.3</v>
      </c>
      <c r="D8" s="14">
        <f>C8*A8</f>
        <v>0</v>
      </c>
      <c r="E8" s="14">
        <f t="shared" ref="E8" si="1">C8*0.23*3*A8</f>
        <v>0</v>
      </c>
      <c r="Q8" s="1"/>
    </row>
    <row r="9" spans="1:17" x14ac:dyDescent="0.25">
      <c r="A9" s="17"/>
      <c r="B9" s="2"/>
      <c r="C9" s="4"/>
      <c r="D9" s="4"/>
      <c r="E9" s="4"/>
    </row>
    <row r="10" spans="1:17" x14ac:dyDescent="0.25">
      <c r="A10" s="17"/>
      <c r="B10" s="2" t="s">
        <v>10</v>
      </c>
      <c r="C10" s="4"/>
      <c r="D10" s="4"/>
      <c r="E10" s="4"/>
    </row>
    <row r="11" spans="1:17" x14ac:dyDescent="0.25">
      <c r="A11" s="17"/>
      <c r="B11" t="s">
        <v>11</v>
      </c>
      <c r="C11" s="13"/>
      <c r="D11" s="14">
        <f>E11*3*230/1000</f>
        <v>0</v>
      </c>
      <c r="E11" s="11"/>
    </row>
    <row r="12" spans="1:17" x14ac:dyDescent="0.25">
      <c r="A12" s="17"/>
      <c r="C12" s="4"/>
      <c r="D12" s="4"/>
      <c r="E12" s="4"/>
    </row>
    <row r="13" spans="1:17" x14ac:dyDescent="0.25">
      <c r="A13" s="17"/>
      <c r="B13" s="2" t="s">
        <v>12</v>
      </c>
      <c r="C13" s="4"/>
      <c r="D13" s="4"/>
      <c r="E13" s="4"/>
    </row>
    <row r="14" spans="1:17" x14ac:dyDescent="0.25">
      <c r="A14" s="18"/>
      <c r="B14" t="s">
        <v>103</v>
      </c>
      <c r="C14" s="14">
        <v>32</v>
      </c>
      <c r="D14" s="14">
        <f t="shared" ref="D14:D15" si="2">C14*A14</f>
        <v>0</v>
      </c>
      <c r="E14" s="14">
        <f t="shared" ref="E14:E15" si="3">C14*0.23*3*A14</f>
        <v>0</v>
      </c>
    </row>
    <row r="15" spans="1:17" x14ac:dyDescent="0.25">
      <c r="A15" s="18"/>
      <c r="B15" t="s">
        <v>104</v>
      </c>
      <c r="C15" s="14">
        <v>44</v>
      </c>
      <c r="D15" s="14">
        <f t="shared" si="2"/>
        <v>0</v>
      </c>
      <c r="E15" s="14">
        <f t="shared" si="3"/>
        <v>0</v>
      </c>
    </row>
    <row r="16" spans="1:17" x14ac:dyDescent="0.25">
      <c r="A16" s="18"/>
      <c r="B16" t="s">
        <v>105</v>
      </c>
      <c r="C16" s="14">
        <v>65</v>
      </c>
      <c r="D16" s="14">
        <f>C16*A16</f>
        <v>0</v>
      </c>
      <c r="E16" s="14">
        <f t="shared" ref="E16" si="4">C16*0.23*3*A16</f>
        <v>0</v>
      </c>
    </row>
    <row r="19" spans="1:8" ht="15.75" x14ac:dyDescent="0.25">
      <c r="B19" s="7" t="s">
        <v>16</v>
      </c>
      <c r="C19" s="111">
        <f>SUM(D5:D16)</f>
        <v>0</v>
      </c>
    </row>
    <row r="20" spans="1:8" ht="15.75" x14ac:dyDescent="0.25">
      <c r="B20" s="7"/>
      <c r="C20" s="113"/>
    </row>
    <row r="22" spans="1:8" ht="22.5" x14ac:dyDescent="0.25">
      <c r="B22" s="19" t="s">
        <v>17</v>
      </c>
    </row>
    <row r="23" spans="1:8" x14ac:dyDescent="0.25">
      <c r="B23" s="115"/>
    </row>
    <row r="24" spans="1:8" x14ac:dyDescent="0.25">
      <c r="B24" s="116"/>
    </row>
    <row r="25" spans="1:8" x14ac:dyDescent="0.25">
      <c r="B25" s="116"/>
    </row>
    <row r="26" spans="1:8" x14ac:dyDescent="0.25">
      <c r="B26" s="116"/>
    </row>
    <row r="27" spans="1:8" x14ac:dyDescent="0.25">
      <c r="B27" s="116"/>
    </row>
    <row r="28" spans="1:8" x14ac:dyDescent="0.25">
      <c r="B28" s="116"/>
    </row>
    <row r="29" spans="1:8" ht="46.5" x14ac:dyDescent="0.25">
      <c r="A29"/>
      <c r="B29" s="20" t="s">
        <v>18</v>
      </c>
      <c r="E29"/>
    </row>
    <row r="30" spans="1:8" x14ac:dyDescent="0.25">
      <c r="A30"/>
      <c r="C30"/>
      <c r="D30"/>
      <c r="E30"/>
      <c r="H30" t="s">
        <v>108</v>
      </c>
    </row>
    <row r="31" spans="1:8" x14ac:dyDescent="0.25">
      <c r="A31"/>
      <c r="C31"/>
      <c r="D31"/>
      <c r="E31"/>
    </row>
    <row r="32" spans="1:8" x14ac:dyDescent="0.25">
      <c r="A32"/>
      <c r="C32"/>
      <c r="D32"/>
      <c r="E32"/>
    </row>
    <row r="33" customFormat="1" x14ac:dyDescent="0.25"/>
    <row r="34" customFormat="1" x14ac:dyDescent="0.25"/>
  </sheetData>
  <mergeCells count="2">
    <mergeCell ref="A1:E1"/>
    <mergeCell ref="B23:B28"/>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EC7A1-804E-4ED7-955C-FFB748C0FD98}">
  <dimension ref="B1:Y61"/>
  <sheetViews>
    <sheetView zoomScale="80" zoomScaleNormal="80" workbookViewId="0">
      <selection activeCell="X17" sqref="X17"/>
    </sheetView>
  </sheetViews>
  <sheetFormatPr defaultRowHeight="15" x14ac:dyDescent="0.25"/>
  <cols>
    <col min="1" max="1" width="1.5703125" customWidth="1"/>
    <col min="2" max="2" width="21.5703125" customWidth="1"/>
    <col min="3" max="4" width="8.85546875" style="27"/>
    <col min="5" max="5" width="12.140625" style="27" bestFit="1" customWidth="1"/>
    <col min="6" max="8" width="12.140625" style="27" customWidth="1"/>
    <col min="9" max="9" width="6.42578125" style="27" bestFit="1" customWidth="1"/>
    <col min="10" max="16" width="12.7109375" style="24" customWidth="1"/>
    <col min="17" max="17" width="30.140625" style="27" customWidth="1"/>
    <col min="18" max="18" width="15.7109375" customWidth="1"/>
  </cols>
  <sheetData>
    <row r="1" spans="2:25" ht="23.25" x14ac:dyDescent="0.35">
      <c r="B1" s="21" t="s">
        <v>19</v>
      </c>
      <c r="C1" s="22"/>
      <c r="D1" s="22"/>
      <c r="E1" s="22"/>
      <c r="F1" s="22"/>
      <c r="G1" s="22"/>
      <c r="H1" s="22"/>
      <c r="I1" s="22"/>
      <c r="J1" s="23"/>
      <c r="K1" s="23"/>
      <c r="L1" s="23"/>
      <c r="M1" s="23"/>
      <c r="Q1" s="25" t="s">
        <v>20</v>
      </c>
    </row>
    <row r="2" spans="2:25" ht="18.75" x14ac:dyDescent="0.3">
      <c r="B2" s="26" t="s">
        <v>21</v>
      </c>
      <c r="C2" s="26"/>
      <c r="D2" s="26"/>
      <c r="E2" s="26"/>
      <c r="F2" s="26"/>
      <c r="G2" s="26"/>
      <c r="H2" s="26"/>
      <c r="I2" s="26"/>
      <c r="J2" s="26"/>
      <c r="K2" s="26"/>
      <c r="L2" s="26"/>
      <c r="M2" s="26"/>
      <c r="N2" s="26"/>
      <c r="O2" s="26"/>
      <c r="P2" s="26"/>
      <c r="Q2" s="26"/>
      <c r="R2" s="26"/>
    </row>
    <row r="3" spans="2:25" ht="18.75" x14ac:dyDescent="0.3">
      <c r="B3" s="26" t="s">
        <v>22</v>
      </c>
      <c r="C3" s="26"/>
      <c r="D3" s="26"/>
      <c r="E3" s="26"/>
      <c r="F3" s="26"/>
      <c r="G3" s="26"/>
      <c r="H3" s="26"/>
      <c r="I3" s="26"/>
      <c r="J3" s="26"/>
      <c r="K3" s="26"/>
      <c r="L3" s="26"/>
      <c r="M3" s="26"/>
      <c r="N3" s="26"/>
      <c r="O3" s="26"/>
      <c r="P3" s="26"/>
      <c r="Q3" s="26"/>
      <c r="R3" s="26"/>
    </row>
    <row r="4" spans="2:25" ht="18.75" x14ac:dyDescent="0.3">
      <c r="B4" s="26"/>
      <c r="C4" s="26"/>
      <c r="D4" s="26"/>
      <c r="E4" s="26"/>
      <c r="F4" s="26"/>
      <c r="G4" s="26"/>
      <c r="H4" s="26"/>
      <c r="I4" s="26"/>
      <c r="J4" s="26"/>
      <c r="K4" s="26"/>
      <c r="L4" s="26"/>
      <c r="M4" s="26"/>
      <c r="N4" s="26"/>
      <c r="O4" s="26"/>
      <c r="P4" s="26"/>
      <c r="Q4" s="26"/>
      <c r="R4" s="26"/>
    </row>
    <row r="5" spans="2:25" ht="18.75" x14ac:dyDescent="0.3">
      <c r="B5" s="26"/>
      <c r="C5" s="26"/>
      <c r="D5" s="26"/>
      <c r="E5" s="26"/>
      <c r="F5" s="26"/>
      <c r="G5" s="26"/>
      <c r="H5" s="26"/>
      <c r="I5" s="26"/>
      <c r="J5" s="26"/>
      <c r="K5" s="26"/>
      <c r="L5" s="26"/>
      <c r="M5" s="26"/>
      <c r="N5" s="26"/>
      <c r="O5" s="26"/>
      <c r="P5" s="26"/>
      <c r="Q5" s="26"/>
      <c r="R5" s="26"/>
    </row>
    <row r="6" spans="2:25" ht="18.75" x14ac:dyDescent="0.3">
      <c r="B6" s="26"/>
      <c r="C6" s="26"/>
      <c r="D6" s="26"/>
      <c r="E6" s="26"/>
      <c r="F6" s="26"/>
      <c r="G6" s="26"/>
      <c r="H6" s="26"/>
      <c r="I6" s="26"/>
      <c r="J6" s="26"/>
      <c r="K6" s="26"/>
      <c r="L6" s="26"/>
      <c r="M6" s="26"/>
      <c r="N6" s="26"/>
      <c r="O6" s="26"/>
      <c r="P6" s="26"/>
      <c r="Q6" s="26"/>
      <c r="R6" s="26"/>
    </row>
    <row r="7" spans="2:25" ht="18.75" x14ac:dyDescent="0.3">
      <c r="B7" s="26"/>
      <c r="C7" s="26"/>
      <c r="D7" s="26"/>
      <c r="E7" s="26"/>
      <c r="F7" s="26"/>
      <c r="G7" s="26"/>
      <c r="H7" s="26"/>
      <c r="I7" s="26"/>
      <c r="J7" s="26"/>
      <c r="K7" s="26"/>
      <c r="L7" s="26"/>
      <c r="M7" s="26"/>
      <c r="N7" s="26"/>
      <c r="O7" s="26"/>
      <c r="P7" s="26"/>
      <c r="Q7" s="26"/>
      <c r="R7" s="26"/>
    </row>
    <row r="8" spans="2:25" ht="18.75" x14ac:dyDescent="0.3">
      <c r="B8" s="26"/>
      <c r="C8" s="26"/>
      <c r="D8" s="26"/>
      <c r="E8" s="26"/>
      <c r="F8" s="26"/>
      <c r="G8" s="26"/>
      <c r="H8" s="26"/>
      <c r="I8" s="26"/>
      <c r="J8" s="26"/>
      <c r="K8" s="26"/>
      <c r="L8" s="26"/>
      <c r="M8" s="26"/>
      <c r="N8" s="26"/>
      <c r="O8" s="26"/>
      <c r="P8" s="26"/>
      <c r="Q8" s="26"/>
      <c r="R8" s="26"/>
    </row>
    <row r="9" spans="2:25" ht="18.75" x14ac:dyDescent="0.3">
      <c r="B9" s="26"/>
      <c r="C9" s="26"/>
      <c r="D9" s="26"/>
      <c r="E9" s="26"/>
      <c r="F9" s="26"/>
      <c r="G9" s="26"/>
      <c r="H9" s="26"/>
      <c r="I9" s="26"/>
      <c r="J9" s="26"/>
      <c r="K9" s="26"/>
      <c r="L9" s="26"/>
      <c r="M9" s="26"/>
      <c r="N9" s="26"/>
      <c r="O9" s="26"/>
      <c r="P9" s="26"/>
      <c r="Q9" s="26"/>
      <c r="R9" s="26"/>
    </row>
    <row r="10" spans="2:25" ht="18.75" x14ac:dyDescent="0.3">
      <c r="B10" s="26"/>
      <c r="C10" s="26"/>
      <c r="D10" s="26"/>
      <c r="E10" s="26"/>
      <c r="F10" s="26"/>
      <c r="G10" s="26"/>
      <c r="H10" s="26"/>
      <c r="I10" s="26"/>
      <c r="J10" s="26"/>
      <c r="K10" s="26"/>
      <c r="L10" s="26"/>
      <c r="M10" s="26"/>
      <c r="N10" s="26"/>
      <c r="O10" s="26"/>
      <c r="P10" s="26"/>
      <c r="Q10" s="26"/>
      <c r="R10" s="26"/>
    </row>
    <row r="11" spans="2:25" ht="15.75" thickBot="1" x14ac:dyDescent="0.3"/>
    <row r="12" spans="2:25" s="24" customFormat="1" x14ac:dyDescent="0.25">
      <c r="B12" s="28" t="s">
        <v>23</v>
      </c>
      <c r="C12" s="29"/>
      <c r="D12" s="30"/>
      <c r="E12" s="31"/>
      <c r="F12" s="29"/>
      <c r="G12" s="30"/>
      <c r="H12" s="31"/>
      <c r="I12" s="32"/>
      <c r="J12" s="33" t="s">
        <v>24</v>
      </c>
      <c r="K12" s="34" t="s">
        <v>25</v>
      </c>
      <c r="L12" s="34" t="s">
        <v>26</v>
      </c>
      <c r="M12" s="34" t="s">
        <v>27</v>
      </c>
      <c r="N12" s="34" t="s">
        <v>28</v>
      </c>
      <c r="O12" s="34" t="s">
        <v>29</v>
      </c>
      <c r="P12" s="35" t="s">
        <v>30</v>
      </c>
      <c r="Q12" s="36"/>
      <c r="R12" s="37"/>
    </row>
    <row r="13" spans="2:25" s="24" customFormat="1" x14ac:dyDescent="0.25">
      <c r="B13" s="38" t="s">
        <v>31</v>
      </c>
      <c r="C13" s="39"/>
      <c r="D13" s="40"/>
      <c r="E13" s="41"/>
      <c r="F13" s="39"/>
      <c r="G13" s="40"/>
      <c r="H13" s="41"/>
      <c r="I13" s="42"/>
      <c r="J13" s="43" t="s">
        <v>32</v>
      </c>
      <c r="K13" s="44" t="s">
        <v>33</v>
      </c>
      <c r="L13" s="44" t="s">
        <v>34</v>
      </c>
      <c r="M13" s="44" t="s">
        <v>35</v>
      </c>
      <c r="N13" s="44" t="s">
        <v>36</v>
      </c>
      <c r="O13" s="44" t="s">
        <v>37</v>
      </c>
      <c r="P13" s="45" t="s">
        <v>38</v>
      </c>
      <c r="Q13" s="46" t="s">
        <v>39</v>
      </c>
      <c r="R13" s="47"/>
    </row>
    <row r="14" spans="2:25" s="24" customFormat="1" x14ac:dyDescent="0.25">
      <c r="B14" s="48"/>
      <c r="C14" s="117" t="s">
        <v>40</v>
      </c>
      <c r="D14" s="118"/>
      <c r="E14" s="119"/>
      <c r="F14" s="117" t="s">
        <v>41</v>
      </c>
      <c r="G14" s="118"/>
      <c r="H14" s="119"/>
      <c r="I14" s="49"/>
      <c r="J14" s="50">
        <v>57</v>
      </c>
      <c r="K14" s="24">
        <v>72</v>
      </c>
      <c r="L14" s="24">
        <v>90</v>
      </c>
      <c r="M14" s="24">
        <v>113</v>
      </c>
      <c r="N14" s="24">
        <v>144</v>
      </c>
      <c r="O14" s="24">
        <v>180</v>
      </c>
      <c r="P14" s="51">
        <v>225</v>
      </c>
      <c r="Q14" s="46" t="s">
        <v>42</v>
      </c>
      <c r="R14" s="47"/>
      <c r="U14" s="120"/>
      <c r="V14" s="120"/>
      <c r="W14" s="120"/>
      <c r="X14" s="120"/>
      <c r="Y14" s="120"/>
    </row>
    <row r="15" spans="2:25" s="24" customFormat="1" x14ac:dyDescent="0.25">
      <c r="B15" s="48"/>
      <c r="C15" s="52" t="s">
        <v>43</v>
      </c>
      <c r="D15" s="27" t="s">
        <v>43</v>
      </c>
      <c r="E15" s="53" t="s">
        <v>43</v>
      </c>
      <c r="F15" s="52" t="s">
        <v>43</v>
      </c>
      <c r="G15" s="27" t="s">
        <v>43</v>
      </c>
      <c r="H15" s="53" t="s">
        <v>43</v>
      </c>
      <c r="I15" s="49" t="s">
        <v>14</v>
      </c>
      <c r="J15" s="50" t="s">
        <v>43</v>
      </c>
      <c r="K15" s="24" t="s">
        <v>43</v>
      </c>
      <c r="L15" s="24" t="s">
        <v>43</v>
      </c>
      <c r="M15" s="24" t="s">
        <v>43</v>
      </c>
      <c r="N15" s="24" t="s">
        <v>43</v>
      </c>
      <c r="O15" s="24" t="s">
        <v>43</v>
      </c>
      <c r="P15" s="51" t="s">
        <v>43</v>
      </c>
      <c r="Q15" s="46" t="s">
        <v>44</v>
      </c>
      <c r="R15" s="47"/>
      <c r="U15" s="120"/>
      <c r="V15" s="120"/>
      <c r="W15" s="120"/>
      <c r="X15" s="120"/>
      <c r="Y15" s="120"/>
    </row>
    <row r="16" spans="2:25" s="24" customFormat="1" x14ac:dyDescent="0.25">
      <c r="B16" s="54" t="s">
        <v>45</v>
      </c>
      <c r="C16" s="55" t="s">
        <v>46</v>
      </c>
      <c r="D16" s="56" t="s">
        <v>47</v>
      </c>
      <c r="E16" s="57" t="s">
        <v>48</v>
      </c>
      <c r="F16" s="55" t="s">
        <v>46</v>
      </c>
      <c r="G16" s="56" t="s">
        <v>47</v>
      </c>
      <c r="H16" s="57" t="s">
        <v>48</v>
      </c>
      <c r="I16" s="58" t="s">
        <v>49</v>
      </c>
      <c r="J16" s="59">
        <v>0.25</v>
      </c>
      <c r="K16" s="60">
        <v>0.25</v>
      </c>
      <c r="L16" s="60">
        <v>0.20399999999999999</v>
      </c>
      <c r="M16" s="60">
        <v>0.16300000000000001</v>
      </c>
      <c r="N16" s="60">
        <v>0.128</v>
      </c>
      <c r="O16" s="60">
        <v>9.1999999999999998E-2</v>
      </c>
      <c r="P16" s="61">
        <v>6.2E-2</v>
      </c>
      <c r="Q16" s="62" t="s">
        <v>50</v>
      </c>
      <c r="R16" s="63"/>
      <c r="U16" s="120"/>
      <c r="V16" s="120"/>
      <c r="W16" s="120"/>
      <c r="X16" s="120"/>
      <c r="Y16" s="120"/>
    </row>
    <row r="17" spans="2:25" s="24" customFormat="1" x14ac:dyDescent="0.25">
      <c r="B17" s="48" t="s">
        <v>51</v>
      </c>
      <c r="C17" s="64">
        <v>0.129</v>
      </c>
      <c r="D17" s="65">
        <v>7.2999999999999995E-2</v>
      </c>
      <c r="E17" s="66">
        <f>SQRT(C17^2+D17^2)</f>
        <v>0.14822280526288795</v>
      </c>
      <c r="F17" s="64">
        <f t="shared" ref="F17:F25" si="0">+C17*Q17/1000</f>
        <v>0</v>
      </c>
      <c r="G17" s="65">
        <f t="shared" ref="G17:G25" si="1">+Q17*D17/1000</f>
        <v>0</v>
      </c>
      <c r="H17" s="66"/>
      <c r="I17" s="67">
        <v>343.60199999999998</v>
      </c>
      <c r="J17" s="68">
        <f t="shared" ref="J17:P34" si="2">+$Q17</f>
        <v>0</v>
      </c>
      <c r="K17" s="69">
        <f t="shared" si="2"/>
        <v>0</v>
      </c>
      <c r="L17" s="69">
        <f t="shared" si="2"/>
        <v>0</v>
      </c>
      <c r="M17" s="69">
        <f t="shared" si="2"/>
        <v>0</v>
      </c>
      <c r="N17" s="69">
        <f t="shared" si="2"/>
        <v>0</v>
      </c>
      <c r="O17" s="69">
        <f t="shared" si="2"/>
        <v>0</v>
      </c>
      <c r="P17" s="70">
        <f t="shared" si="2"/>
        <v>0</v>
      </c>
      <c r="Q17" s="71"/>
      <c r="R17" s="72" t="s">
        <v>51</v>
      </c>
      <c r="U17" s="120"/>
      <c r="V17" s="120"/>
      <c r="W17" s="120"/>
      <c r="X17" s="120"/>
      <c r="Y17" s="120"/>
    </row>
    <row r="18" spans="2:25" s="24" customFormat="1" x14ac:dyDescent="0.25">
      <c r="B18" s="48" t="s">
        <v>52</v>
      </c>
      <c r="C18" s="64">
        <v>0.20599999999999999</v>
      </c>
      <c r="D18" s="65">
        <v>7.9000000000000001E-2</v>
      </c>
      <c r="E18" s="66">
        <f t="shared" ref="E18:E23" si="3">SQRT(C18^2+D18^2)</f>
        <v>0.22062864727863424</v>
      </c>
      <c r="F18" s="64">
        <f t="shared" si="0"/>
        <v>0</v>
      </c>
      <c r="G18" s="65">
        <f t="shared" si="1"/>
        <v>0</v>
      </c>
      <c r="H18" s="66"/>
      <c r="I18" s="67">
        <v>260.21249999999998</v>
      </c>
      <c r="J18" s="68">
        <f t="shared" si="2"/>
        <v>0</v>
      </c>
      <c r="K18" s="69">
        <f t="shared" si="2"/>
        <v>0</v>
      </c>
      <c r="L18" s="69">
        <f t="shared" si="2"/>
        <v>0</v>
      </c>
      <c r="M18" s="69">
        <f t="shared" si="2"/>
        <v>0</v>
      </c>
      <c r="N18" s="69">
        <f t="shared" si="2"/>
        <v>0</v>
      </c>
      <c r="O18" s="69">
        <f t="shared" si="2"/>
        <v>0</v>
      </c>
      <c r="P18" s="70">
        <f t="shared" si="2"/>
        <v>0</v>
      </c>
      <c r="Q18" s="71"/>
      <c r="R18" s="72" t="s">
        <v>52</v>
      </c>
      <c r="U18" s="120"/>
      <c r="V18" s="120"/>
      <c r="W18" s="120"/>
      <c r="X18" s="120"/>
      <c r="Y18" s="120"/>
    </row>
    <row r="19" spans="2:25" s="24" customFormat="1" x14ac:dyDescent="0.25">
      <c r="B19" s="48" t="s">
        <v>53</v>
      </c>
      <c r="C19" s="64">
        <v>0.28100000000000003</v>
      </c>
      <c r="D19" s="65">
        <v>8.1000000000000003E-2</v>
      </c>
      <c r="E19" s="66">
        <f t="shared" si="3"/>
        <v>0.29244144713087439</v>
      </c>
      <c r="F19" s="64">
        <f t="shared" si="0"/>
        <v>0</v>
      </c>
      <c r="G19" s="65">
        <f t="shared" si="1"/>
        <v>0</v>
      </c>
      <c r="H19" s="66"/>
      <c r="I19" s="67">
        <v>232.8426</v>
      </c>
      <c r="J19" s="68">
        <f t="shared" si="2"/>
        <v>0</v>
      </c>
      <c r="K19" s="69">
        <f t="shared" si="2"/>
        <v>0</v>
      </c>
      <c r="L19" s="69">
        <f t="shared" si="2"/>
        <v>0</v>
      </c>
      <c r="M19" s="69">
        <f t="shared" si="2"/>
        <v>0</v>
      </c>
      <c r="N19" s="69">
        <f t="shared" si="2"/>
        <v>0</v>
      </c>
      <c r="O19" s="69">
        <f t="shared" si="2"/>
        <v>0</v>
      </c>
      <c r="P19" s="70">
        <f t="shared" si="2"/>
        <v>0</v>
      </c>
      <c r="Q19" s="71"/>
      <c r="R19" s="72" t="s">
        <v>53</v>
      </c>
      <c r="U19" s="120"/>
      <c r="V19" s="120"/>
      <c r="W19" s="120"/>
      <c r="X19" s="120"/>
      <c r="Y19" s="120"/>
    </row>
    <row r="20" spans="2:25" s="24" customFormat="1" x14ac:dyDescent="0.25">
      <c r="B20" s="48" t="s">
        <v>54</v>
      </c>
      <c r="C20" s="64">
        <v>0.32</v>
      </c>
      <c r="D20" s="65">
        <v>8.2000000000000003E-2</v>
      </c>
      <c r="E20" s="66">
        <f t="shared" si="3"/>
        <v>0.33033921959101376</v>
      </c>
      <c r="F20" s="64">
        <f t="shared" si="0"/>
        <v>0</v>
      </c>
      <c r="G20" s="65">
        <f t="shared" si="1"/>
        <v>0</v>
      </c>
      <c r="H20" s="66"/>
      <c r="I20" s="67">
        <v>203.60159999999999</v>
      </c>
      <c r="J20" s="68">
        <f t="shared" si="2"/>
        <v>0</v>
      </c>
      <c r="K20" s="69">
        <f t="shared" si="2"/>
        <v>0</v>
      </c>
      <c r="L20" s="69">
        <f t="shared" si="2"/>
        <v>0</v>
      </c>
      <c r="M20" s="69">
        <f t="shared" si="2"/>
        <v>0</v>
      </c>
      <c r="N20" s="69">
        <f t="shared" si="2"/>
        <v>0</v>
      </c>
      <c r="O20" s="69">
        <f t="shared" si="2"/>
        <v>0</v>
      </c>
      <c r="P20" s="73" t="s">
        <v>47</v>
      </c>
      <c r="Q20" s="71"/>
      <c r="R20" s="72" t="s">
        <v>54</v>
      </c>
      <c r="U20" s="120"/>
      <c r="V20" s="120"/>
      <c r="W20" s="120"/>
      <c r="X20" s="120"/>
      <c r="Y20" s="120"/>
    </row>
    <row r="21" spans="2:25" s="24" customFormat="1" x14ac:dyDescent="0.25">
      <c r="B21" s="48" t="s">
        <v>55</v>
      </c>
      <c r="C21" s="64">
        <v>0.443</v>
      </c>
      <c r="D21" s="65">
        <f>(D20+D22)/2</f>
        <v>8.3500000000000005E-2</v>
      </c>
      <c r="E21" s="66">
        <f>SQRT(C21^2+D21^2)</f>
        <v>0.45080067657447015</v>
      </c>
      <c r="F21" s="64">
        <f t="shared" si="0"/>
        <v>0</v>
      </c>
      <c r="G21" s="65">
        <f t="shared" si="1"/>
        <v>0</v>
      </c>
      <c r="H21" s="66"/>
      <c r="I21" s="67">
        <v>169.14420000000001</v>
      </c>
      <c r="J21" s="68">
        <f t="shared" si="2"/>
        <v>0</v>
      </c>
      <c r="K21" s="69">
        <f t="shared" si="2"/>
        <v>0</v>
      </c>
      <c r="L21" s="69">
        <f t="shared" si="2"/>
        <v>0</v>
      </c>
      <c r="M21" s="69">
        <f t="shared" si="2"/>
        <v>0</v>
      </c>
      <c r="N21" s="69">
        <f t="shared" si="2"/>
        <v>0</v>
      </c>
      <c r="O21" s="74" t="s">
        <v>47</v>
      </c>
      <c r="P21" s="75" t="s">
        <v>47</v>
      </c>
      <c r="Q21" s="71"/>
      <c r="R21" s="72" t="s">
        <v>55</v>
      </c>
      <c r="U21" s="120"/>
      <c r="V21" s="120"/>
      <c r="W21" s="120"/>
      <c r="X21" s="120"/>
      <c r="Y21" s="120"/>
    </row>
    <row r="22" spans="2:25" s="24" customFormat="1" x14ac:dyDescent="0.25">
      <c r="B22" s="48" t="s">
        <v>56</v>
      </c>
      <c r="C22" s="64">
        <v>0.64100000000000001</v>
      </c>
      <c r="D22" s="65">
        <v>8.5000000000000006E-2</v>
      </c>
      <c r="E22" s="66">
        <f t="shared" si="3"/>
        <v>0.64661116600318613</v>
      </c>
      <c r="F22" s="64">
        <f t="shared" si="0"/>
        <v>0</v>
      </c>
      <c r="G22" s="65">
        <f t="shared" si="1"/>
        <v>0</v>
      </c>
      <c r="H22" s="66"/>
      <c r="I22" s="67">
        <v>137.34360000000004</v>
      </c>
      <c r="J22" s="68">
        <f t="shared" si="2"/>
        <v>0</v>
      </c>
      <c r="K22" s="69">
        <f t="shared" si="2"/>
        <v>0</v>
      </c>
      <c r="L22" s="69">
        <f t="shared" si="2"/>
        <v>0</v>
      </c>
      <c r="M22" s="69">
        <f t="shared" si="2"/>
        <v>0</v>
      </c>
      <c r="N22" s="74" t="s">
        <v>47</v>
      </c>
      <c r="O22" s="74" t="s">
        <v>47</v>
      </c>
      <c r="P22" s="73" t="s">
        <v>47</v>
      </c>
      <c r="Q22" s="71"/>
      <c r="R22" s="72" t="s">
        <v>56</v>
      </c>
      <c r="U22" s="120"/>
      <c r="V22" s="120"/>
      <c r="W22" s="120"/>
      <c r="X22" s="120"/>
      <c r="Y22" s="120"/>
    </row>
    <row r="23" spans="2:25" s="24" customFormat="1" x14ac:dyDescent="0.25">
      <c r="B23" s="48" t="s">
        <v>57</v>
      </c>
      <c r="C23" s="64">
        <v>0.86799999999999999</v>
      </c>
      <c r="D23" s="65">
        <v>0.10100000000000001</v>
      </c>
      <c r="E23" s="66">
        <f t="shared" si="3"/>
        <v>0.87385639552503136</v>
      </c>
      <c r="F23" s="64">
        <f t="shared" si="0"/>
        <v>0</v>
      </c>
      <c r="G23" s="65">
        <f t="shared" si="1"/>
        <v>0</v>
      </c>
      <c r="H23" s="66"/>
      <c r="I23" s="67">
        <v>115.09290000000001</v>
      </c>
      <c r="J23" s="68">
        <f t="shared" si="2"/>
        <v>0</v>
      </c>
      <c r="K23" s="69">
        <f t="shared" si="2"/>
        <v>0</v>
      </c>
      <c r="L23" s="69">
        <f t="shared" si="2"/>
        <v>0</v>
      </c>
      <c r="M23" s="69">
        <f t="shared" si="2"/>
        <v>0</v>
      </c>
      <c r="N23" s="74" t="s">
        <v>47</v>
      </c>
      <c r="O23" s="74" t="s">
        <v>47</v>
      </c>
      <c r="P23" s="75" t="s">
        <v>47</v>
      </c>
      <c r="Q23" s="71"/>
      <c r="R23" s="72" t="s">
        <v>57</v>
      </c>
      <c r="U23" s="120"/>
      <c r="V23" s="120"/>
      <c r="W23" s="120"/>
      <c r="X23" s="120"/>
      <c r="Y23" s="120"/>
    </row>
    <row r="24" spans="2:25" s="24" customFormat="1" x14ac:dyDescent="0.25">
      <c r="B24" s="48" t="s">
        <v>58</v>
      </c>
      <c r="C24" s="64">
        <v>1.2</v>
      </c>
      <c r="D24" s="65">
        <v>9.4E-2</v>
      </c>
      <c r="E24" s="66">
        <f>SQRT(C24^2+D24^2)</f>
        <v>1.2036760361492622</v>
      </c>
      <c r="F24" s="64">
        <f t="shared" si="0"/>
        <v>0</v>
      </c>
      <c r="G24" s="65">
        <f t="shared" si="1"/>
        <v>0</v>
      </c>
      <c r="H24" s="66"/>
      <c r="I24" s="67">
        <v>95.993099999999998</v>
      </c>
      <c r="J24" s="68">
        <f t="shared" si="2"/>
        <v>0</v>
      </c>
      <c r="K24" s="69">
        <f t="shared" si="2"/>
        <v>0</v>
      </c>
      <c r="L24" s="69">
        <f t="shared" si="2"/>
        <v>0</v>
      </c>
      <c r="M24" s="74" t="s">
        <v>47</v>
      </c>
      <c r="N24" s="74" t="s">
        <v>47</v>
      </c>
      <c r="O24" s="74" t="s">
        <v>47</v>
      </c>
      <c r="P24" s="75" t="s">
        <v>47</v>
      </c>
      <c r="Q24" s="71"/>
      <c r="R24" s="72" t="s">
        <v>58</v>
      </c>
      <c r="U24" s="120"/>
      <c r="V24" s="120"/>
      <c r="W24" s="120"/>
      <c r="X24" s="120"/>
      <c r="Y24" s="120"/>
    </row>
    <row r="25" spans="2:25" s="24" customFormat="1" x14ac:dyDescent="0.25">
      <c r="B25" s="48" t="s">
        <v>59</v>
      </c>
      <c r="C25" s="64">
        <v>1.91</v>
      </c>
      <c r="D25" s="65">
        <v>9.6000000000000002E-2</v>
      </c>
      <c r="E25" s="66">
        <f>SQRT(C25^2+D25^2)</f>
        <v>1.9124110436828166</v>
      </c>
      <c r="F25" s="64">
        <f t="shared" si="0"/>
        <v>0</v>
      </c>
      <c r="G25" s="65">
        <f t="shared" si="1"/>
        <v>0</v>
      </c>
      <c r="H25" s="66"/>
      <c r="I25" s="67">
        <v>74.333700000000007</v>
      </c>
      <c r="J25" s="68">
        <f t="shared" si="2"/>
        <v>0</v>
      </c>
      <c r="K25" s="69">
        <f t="shared" si="2"/>
        <v>0</v>
      </c>
      <c r="L25" s="74" t="s">
        <v>47</v>
      </c>
      <c r="M25" s="74" t="s">
        <v>47</v>
      </c>
      <c r="N25" s="74" t="s">
        <v>47</v>
      </c>
      <c r="O25" s="74" t="s">
        <v>47</v>
      </c>
      <c r="P25" s="75" t="s">
        <v>47</v>
      </c>
      <c r="Q25" s="71"/>
      <c r="R25" s="72" t="s">
        <v>59</v>
      </c>
      <c r="U25" s="120"/>
      <c r="V25" s="120"/>
      <c r="W25" s="120"/>
      <c r="X25" s="120"/>
      <c r="Y25" s="120"/>
    </row>
    <row r="26" spans="2:25" s="24" customFormat="1" x14ac:dyDescent="0.25">
      <c r="B26" s="48"/>
      <c r="C26" s="64"/>
      <c r="D26" s="65"/>
      <c r="E26" s="66"/>
      <c r="F26" s="64"/>
      <c r="G26" s="65"/>
      <c r="H26" s="66"/>
      <c r="I26" s="67"/>
      <c r="J26" s="68"/>
      <c r="K26" s="69"/>
      <c r="L26" s="74"/>
      <c r="M26" s="74"/>
      <c r="N26" s="74"/>
      <c r="O26" s="74"/>
      <c r="P26" s="75"/>
      <c r="Q26" s="71"/>
      <c r="R26" s="72"/>
      <c r="U26" s="120"/>
      <c r="V26" s="120"/>
      <c r="W26" s="120"/>
      <c r="X26" s="120"/>
      <c r="Y26" s="120"/>
    </row>
    <row r="27" spans="2:25" s="24" customFormat="1" x14ac:dyDescent="0.25">
      <c r="B27" s="48" t="s">
        <v>60</v>
      </c>
      <c r="C27" s="64">
        <v>0.107</v>
      </c>
      <c r="D27" s="65">
        <v>6.8000000000000005E-2</v>
      </c>
      <c r="E27" s="66">
        <f t="shared" ref="E27:E34" si="4">SQRT(C27^2+D27^2)</f>
        <v>0.12677933585565118</v>
      </c>
      <c r="F27" s="64">
        <f t="shared" ref="F27:F34" si="5">+C27*Q27/1000</f>
        <v>0</v>
      </c>
      <c r="G27" s="65">
        <f t="shared" ref="G27:G34" si="6">+Q27*D27/1000</f>
        <v>0</v>
      </c>
      <c r="H27" s="66"/>
      <c r="I27" s="67">
        <v>382.98419999999999</v>
      </c>
      <c r="J27" s="68">
        <f t="shared" si="2"/>
        <v>0</v>
      </c>
      <c r="K27" s="69">
        <f t="shared" si="2"/>
        <v>0</v>
      </c>
      <c r="L27" s="69">
        <f t="shared" si="2"/>
        <v>0</v>
      </c>
      <c r="M27" s="69">
        <f t="shared" si="2"/>
        <v>0</v>
      </c>
      <c r="N27" s="69">
        <f t="shared" si="2"/>
        <v>0</v>
      </c>
      <c r="O27" s="69">
        <f t="shared" si="2"/>
        <v>0</v>
      </c>
      <c r="P27" s="70">
        <f t="shared" si="2"/>
        <v>0</v>
      </c>
      <c r="Q27" s="71"/>
      <c r="R27" s="72" t="s">
        <v>60</v>
      </c>
      <c r="U27" s="120"/>
      <c r="V27" s="120"/>
      <c r="W27" s="120"/>
      <c r="X27" s="120"/>
      <c r="Y27" s="120"/>
    </row>
    <row r="28" spans="2:25" s="24" customFormat="1" x14ac:dyDescent="0.25">
      <c r="B28" s="48" t="s">
        <v>61</v>
      </c>
      <c r="C28" s="64">
        <v>0.125</v>
      </c>
      <c r="D28" s="65">
        <v>6.8000000000000005E-2</v>
      </c>
      <c r="E28" s="66">
        <f t="shared" si="4"/>
        <v>0.14229898102235308</v>
      </c>
      <c r="F28" s="64">
        <f t="shared" si="5"/>
        <v>0</v>
      </c>
      <c r="G28" s="65">
        <f t="shared" si="6"/>
        <v>0</v>
      </c>
      <c r="H28" s="66"/>
      <c r="I28" s="67">
        <v>339.07410000000004</v>
      </c>
      <c r="J28" s="68">
        <f t="shared" si="2"/>
        <v>0</v>
      </c>
      <c r="K28" s="69">
        <f t="shared" si="2"/>
        <v>0</v>
      </c>
      <c r="L28" s="69">
        <f t="shared" si="2"/>
        <v>0</v>
      </c>
      <c r="M28" s="69">
        <f t="shared" si="2"/>
        <v>0</v>
      </c>
      <c r="N28" s="69">
        <f t="shared" si="2"/>
        <v>0</v>
      </c>
      <c r="O28" s="69">
        <f t="shared" si="2"/>
        <v>0</v>
      </c>
      <c r="P28" s="70">
        <f t="shared" si="2"/>
        <v>0</v>
      </c>
      <c r="Q28" s="71"/>
      <c r="R28" s="72" t="s">
        <v>61</v>
      </c>
      <c r="U28" s="120"/>
      <c r="V28" s="120"/>
      <c r="W28" s="120"/>
      <c r="X28" s="120"/>
      <c r="Y28" s="120"/>
    </row>
    <row r="29" spans="2:25" s="24" customFormat="1" x14ac:dyDescent="0.25">
      <c r="B29" s="48" t="s">
        <v>62</v>
      </c>
      <c r="C29" s="64">
        <v>0.19400000000000001</v>
      </c>
      <c r="D29" s="65">
        <v>6.9000000000000006E-2</v>
      </c>
      <c r="E29" s="66">
        <f t="shared" si="4"/>
        <v>0.20590531804691203</v>
      </c>
      <c r="F29" s="64">
        <f t="shared" si="5"/>
        <v>0</v>
      </c>
      <c r="G29" s="65">
        <f t="shared" si="6"/>
        <v>0</v>
      </c>
      <c r="H29" s="66"/>
      <c r="I29" s="67">
        <v>266.51430000000005</v>
      </c>
      <c r="J29" s="68">
        <f t="shared" si="2"/>
        <v>0</v>
      </c>
      <c r="K29" s="69">
        <f t="shared" si="2"/>
        <v>0</v>
      </c>
      <c r="L29" s="69">
        <f t="shared" si="2"/>
        <v>0</v>
      </c>
      <c r="M29" s="69">
        <f t="shared" si="2"/>
        <v>0</v>
      </c>
      <c r="N29" s="69">
        <f t="shared" si="2"/>
        <v>0</v>
      </c>
      <c r="O29" s="69">
        <f t="shared" si="2"/>
        <v>0</v>
      </c>
      <c r="P29" s="70">
        <f t="shared" si="2"/>
        <v>0</v>
      </c>
      <c r="Q29" s="71"/>
      <c r="R29" s="72" t="s">
        <v>62</v>
      </c>
      <c r="U29" s="120"/>
      <c r="V29" s="120"/>
      <c r="W29" s="120"/>
      <c r="X29" s="120"/>
      <c r="Y29" s="120"/>
    </row>
    <row r="30" spans="2:25" s="24" customFormat="1" x14ac:dyDescent="0.25">
      <c r="B30" s="48" t="s">
        <v>63</v>
      </c>
      <c r="C30" s="64">
        <v>0.26800000000000002</v>
      </c>
      <c r="D30" s="65">
        <v>7.1999999999999995E-2</v>
      </c>
      <c r="E30" s="66">
        <f t="shared" si="4"/>
        <v>0.27750315313523916</v>
      </c>
      <c r="F30" s="64">
        <f t="shared" si="5"/>
        <v>0</v>
      </c>
      <c r="G30" s="65">
        <f t="shared" si="6"/>
        <v>0</v>
      </c>
      <c r="H30" s="66"/>
      <c r="I30" s="67">
        <v>222.70139999999998</v>
      </c>
      <c r="J30" s="68">
        <f t="shared" si="2"/>
        <v>0</v>
      </c>
      <c r="K30" s="69">
        <f t="shared" si="2"/>
        <v>0</v>
      </c>
      <c r="L30" s="69">
        <f t="shared" si="2"/>
        <v>0</v>
      </c>
      <c r="M30" s="69">
        <f t="shared" si="2"/>
        <v>0</v>
      </c>
      <c r="N30" s="69">
        <f t="shared" si="2"/>
        <v>0</v>
      </c>
      <c r="O30" s="69">
        <f t="shared" si="2"/>
        <v>0</v>
      </c>
      <c r="P30" s="75" t="s">
        <v>47</v>
      </c>
      <c r="Q30" s="71"/>
      <c r="R30" s="72" t="s">
        <v>63</v>
      </c>
      <c r="U30" s="120"/>
      <c r="V30" s="120"/>
      <c r="W30" s="120"/>
      <c r="X30" s="120"/>
      <c r="Y30" s="120"/>
    </row>
    <row r="31" spans="2:25" s="24" customFormat="1" x14ac:dyDescent="0.25">
      <c r="B31" s="48" t="s">
        <v>64</v>
      </c>
      <c r="C31" s="64">
        <v>0.38700000000000001</v>
      </c>
      <c r="D31" s="65">
        <v>8.5000000000000006E-2</v>
      </c>
      <c r="E31" s="66">
        <f t="shared" si="4"/>
        <v>0.39622468373386333</v>
      </c>
      <c r="F31" s="64">
        <f t="shared" si="5"/>
        <v>0</v>
      </c>
      <c r="G31" s="65">
        <f t="shared" si="6"/>
        <v>0</v>
      </c>
      <c r="H31" s="66"/>
      <c r="I31" s="67">
        <v>179.97390000000001</v>
      </c>
      <c r="J31" s="68">
        <f t="shared" si="2"/>
        <v>0</v>
      </c>
      <c r="K31" s="69">
        <f t="shared" si="2"/>
        <v>0</v>
      </c>
      <c r="L31" s="69">
        <f t="shared" si="2"/>
        <v>0</v>
      </c>
      <c r="M31" s="69">
        <f t="shared" si="2"/>
        <v>0</v>
      </c>
      <c r="N31" s="69">
        <f t="shared" si="2"/>
        <v>0</v>
      </c>
      <c r="O31" s="74" t="s">
        <v>47</v>
      </c>
      <c r="P31" s="75" t="s">
        <v>47</v>
      </c>
      <c r="Q31" s="71"/>
      <c r="R31" s="72" t="s">
        <v>64</v>
      </c>
      <c r="U31" s="120"/>
      <c r="V31" s="120"/>
      <c r="W31" s="120"/>
      <c r="X31" s="120"/>
      <c r="Y31" s="120"/>
    </row>
    <row r="32" spans="2:25" s="24" customFormat="1" x14ac:dyDescent="0.25">
      <c r="B32" s="48" t="s">
        <v>65</v>
      </c>
      <c r="C32" s="64">
        <v>0.52400000000000002</v>
      </c>
      <c r="D32" s="65">
        <v>0.1</v>
      </c>
      <c r="E32" s="66">
        <f t="shared" si="4"/>
        <v>0.53345665240954676</v>
      </c>
      <c r="F32" s="64">
        <f t="shared" si="5"/>
        <v>0</v>
      </c>
      <c r="G32" s="65">
        <f t="shared" si="6"/>
        <v>0</v>
      </c>
      <c r="H32" s="66"/>
      <c r="I32" s="67">
        <v>152.0127</v>
      </c>
      <c r="J32" s="68">
        <f t="shared" si="2"/>
        <v>0</v>
      </c>
      <c r="K32" s="69">
        <f t="shared" si="2"/>
        <v>0</v>
      </c>
      <c r="L32" s="69">
        <f t="shared" si="2"/>
        <v>0</v>
      </c>
      <c r="M32" s="69">
        <f t="shared" si="2"/>
        <v>0</v>
      </c>
      <c r="N32" s="74" t="s">
        <v>47</v>
      </c>
      <c r="O32" s="74" t="s">
        <v>47</v>
      </c>
      <c r="P32" s="75" t="s">
        <v>47</v>
      </c>
      <c r="Q32" s="71"/>
      <c r="R32" s="72" t="s">
        <v>65</v>
      </c>
      <c r="U32" s="120"/>
      <c r="V32" s="120"/>
      <c r="W32" s="120"/>
      <c r="X32" s="120"/>
      <c r="Y32" s="120"/>
    </row>
    <row r="33" spans="2:25" s="24" customFormat="1" x14ac:dyDescent="0.25">
      <c r="B33" s="48" t="s">
        <v>66</v>
      </c>
      <c r="C33" s="64">
        <v>0.72699999999999998</v>
      </c>
      <c r="D33" s="65">
        <v>9.4E-2</v>
      </c>
      <c r="E33" s="66">
        <f t="shared" si="4"/>
        <v>0.73305183991311273</v>
      </c>
      <c r="F33" s="64">
        <f t="shared" si="5"/>
        <v>0</v>
      </c>
      <c r="G33" s="65">
        <f t="shared" si="6"/>
        <v>0</v>
      </c>
      <c r="H33" s="66"/>
      <c r="I33" s="67">
        <v>126.61109999999999</v>
      </c>
      <c r="J33" s="68">
        <f t="shared" si="2"/>
        <v>0</v>
      </c>
      <c r="K33" s="69">
        <f t="shared" si="2"/>
        <v>0</v>
      </c>
      <c r="L33" s="69">
        <f t="shared" si="2"/>
        <v>0</v>
      </c>
      <c r="M33" s="74" t="s">
        <v>47</v>
      </c>
      <c r="N33" s="74" t="s">
        <v>47</v>
      </c>
      <c r="O33" s="74" t="s">
        <v>47</v>
      </c>
      <c r="P33" s="75" t="s">
        <v>47</v>
      </c>
      <c r="Q33" s="71"/>
      <c r="R33" s="72" t="s">
        <v>66</v>
      </c>
      <c r="U33" s="120"/>
      <c r="V33" s="120"/>
      <c r="W33" s="120"/>
      <c r="X33" s="120"/>
      <c r="Y33" s="120"/>
    </row>
    <row r="34" spans="2:25" s="24" customFormat="1" x14ac:dyDescent="0.25">
      <c r="B34" s="76" t="s">
        <v>67</v>
      </c>
      <c r="C34" s="77">
        <v>1.1499999999999999</v>
      </c>
      <c r="D34" s="78">
        <v>9.7000000000000003E-2</v>
      </c>
      <c r="E34" s="79">
        <f t="shared" si="4"/>
        <v>1.1540836191541755</v>
      </c>
      <c r="F34" s="77">
        <f t="shared" si="5"/>
        <v>0</v>
      </c>
      <c r="G34" s="78">
        <f t="shared" si="6"/>
        <v>0</v>
      </c>
      <c r="H34" s="79"/>
      <c r="I34" s="80">
        <v>97.864199999999997</v>
      </c>
      <c r="J34" s="81">
        <f t="shared" si="2"/>
        <v>0</v>
      </c>
      <c r="K34" s="82">
        <f t="shared" si="2"/>
        <v>0</v>
      </c>
      <c r="L34" s="83" t="s">
        <v>47</v>
      </c>
      <c r="M34" s="83" t="s">
        <v>47</v>
      </c>
      <c r="N34" s="83" t="s">
        <v>47</v>
      </c>
      <c r="O34" s="83" t="s">
        <v>47</v>
      </c>
      <c r="P34" s="84" t="s">
        <v>47</v>
      </c>
      <c r="Q34" s="85"/>
      <c r="R34" s="86" t="s">
        <v>67</v>
      </c>
      <c r="U34" s="120"/>
      <c r="V34" s="120"/>
      <c r="W34" s="120"/>
      <c r="X34" s="120"/>
      <c r="Y34" s="120"/>
    </row>
    <row r="35" spans="2:25" x14ac:dyDescent="0.25">
      <c r="B35" s="87"/>
      <c r="J35" s="88"/>
      <c r="K35" s="89"/>
      <c r="L35" s="89"/>
      <c r="M35" s="89"/>
      <c r="N35" s="89"/>
      <c r="O35" s="89"/>
      <c r="P35" s="90"/>
      <c r="R35" s="72"/>
    </row>
    <row r="36" spans="2:25" x14ac:dyDescent="0.25">
      <c r="B36" s="91" t="s">
        <v>68</v>
      </c>
      <c r="C36" s="92"/>
      <c r="D36" s="92"/>
      <c r="E36" s="92"/>
      <c r="F36" s="93">
        <f>SUM(F17:F35)</f>
        <v>0</v>
      </c>
      <c r="G36" s="93">
        <f>SUM(G17:G35)</f>
        <v>0</v>
      </c>
      <c r="H36" s="93">
        <f>SQRT(F36^2+G36^2)</f>
        <v>0</v>
      </c>
      <c r="J36" s="50" t="str">
        <f>IF($H$36&lt;=J16,"OK","niet OK")</f>
        <v>OK</v>
      </c>
      <c r="K36" s="24" t="str">
        <f t="shared" ref="K36:P36" si="7">IF($H$36&lt;=K16,"OK","niet OK")</f>
        <v>OK</v>
      </c>
      <c r="L36" s="24" t="str">
        <f t="shared" si="7"/>
        <v>OK</v>
      </c>
      <c r="M36" s="24" t="str">
        <f t="shared" si="7"/>
        <v>OK</v>
      </c>
      <c r="N36" s="24" t="str">
        <f t="shared" si="7"/>
        <v>OK</v>
      </c>
      <c r="O36" s="24" t="str">
        <f t="shared" si="7"/>
        <v>OK</v>
      </c>
      <c r="P36" s="51" t="str">
        <f t="shared" si="7"/>
        <v>OK</v>
      </c>
      <c r="Q36" s="94" t="s">
        <v>69</v>
      </c>
      <c r="R36" s="95"/>
    </row>
    <row r="37" spans="2:25" x14ac:dyDescent="0.25">
      <c r="B37" s="87"/>
      <c r="C37" s="96"/>
      <c r="D37" s="96"/>
      <c r="E37" s="65"/>
      <c r="F37" s="65"/>
      <c r="G37" s="65"/>
      <c r="H37" s="65"/>
      <c r="J37" s="50" t="str">
        <f t="shared" ref="J37:N37" si="8">IF(AND(J43="OK",J44="OK",J45="OK",J46="OK",J47="OK",J48="OK",J49="OK",J50="OK",J51="OK",J52="OK",J53="OK",J54="OK",J55="OK",J56="OK",J57="OK",J58="OK",J59="OK"),"OK","niet OK")</f>
        <v>OK</v>
      </c>
      <c r="K37" s="24" t="str">
        <f t="shared" si="8"/>
        <v>OK</v>
      </c>
      <c r="L37" s="24" t="str">
        <f t="shared" si="8"/>
        <v>OK</v>
      </c>
      <c r="M37" s="24" t="str">
        <f t="shared" si="8"/>
        <v>OK</v>
      </c>
      <c r="N37" s="24" t="str">
        <f t="shared" si="8"/>
        <v>OK</v>
      </c>
      <c r="O37" s="24" t="str">
        <f>IF(AND(O43="OK",O44="OK",O45="OK",O46="OK",O47="OK",O48="OK",O49="OK",O50="OK",O51="OK",O52="OK",O53="OK",O54="OK",O55="OK",O56="OK",O57="OK",O58="OK",O59="OK"),"OK","niet OK")</f>
        <v>OK</v>
      </c>
      <c r="P37" s="51" t="str">
        <f>IF(AND(P43="OK",P44="OK",P45="OK",P46="OK",P47="OK",P48="OK",P49="OK",P50="OK",P51="OK",P52="OK",P53="OK",P54="OK",P55="OK",P56="OK",P57="OK",P58="OK",P59="OK"),"OK","niet OK")</f>
        <v>OK</v>
      </c>
      <c r="Q37" s="97" t="s">
        <v>70</v>
      </c>
      <c r="R37" s="98"/>
    </row>
    <row r="38" spans="2:25" ht="15.75" thickBot="1" x14ac:dyDescent="0.3">
      <c r="B38" s="99"/>
      <c r="C38" s="100"/>
      <c r="D38" s="100"/>
      <c r="E38" s="100"/>
      <c r="F38" s="100"/>
      <c r="G38" s="100"/>
      <c r="H38" s="100"/>
      <c r="I38" s="100"/>
      <c r="J38" s="101" t="str">
        <f t="shared" ref="J38:P38" si="9">IF(AND(J36="OK",J37="OK"),"JA","NEE")</f>
        <v>JA</v>
      </c>
      <c r="K38" s="102" t="str">
        <f t="shared" si="9"/>
        <v>JA</v>
      </c>
      <c r="L38" s="102" t="str">
        <f t="shared" si="9"/>
        <v>JA</v>
      </c>
      <c r="M38" s="102" t="str">
        <f t="shared" si="9"/>
        <v>JA</v>
      </c>
      <c r="N38" s="102" t="str">
        <f t="shared" si="9"/>
        <v>JA</v>
      </c>
      <c r="O38" s="102" t="str">
        <f t="shared" si="9"/>
        <v>JA</v>
      </c>
      <c r="P38" s="103" t="str">
        <f t="shared" si="9"/>
        <v>JA</v>
      </c>
      <c r="Q38" s="104" t="s">
        <v>71</v>
      </c>
      <c r="R38" s="105"/>
    </row>
    <row r="39" spans="2:25" x14ac:dyDescent="0.25">
      <c r="J39" s="106"/>
      <c r="K39" s="106"/>
      <c r="L39" s="106"/>
      <c r="M39" s="106"/>
      <c r="N39" s="106"/>
      <c r="O39" s="106"/>
      <c r="P39" s="106"/>
      <c r="Q39" s="106"/>
      <c r="R39" s="106"/>
    </row>
    <row r="40" spans="2:25" hidden="1" x14ac:dyDescent="0.25">
      <c r="J40" s="106"/>
      <c r="K40" s="106"/>
      <c r="L40" s="106"/>
      <c r="M40" s="106"/>
      <c r="N40" s="106"/>
      <c r="O40" s="106"/>
      <c r="P40" s="106"/>
      <c r="Q40" s="106"/>
      <c r="R40" s="106"/>
    </row>
    <row r="41" spans="2:25" hidden="1" x14ac:dyDescent="0.25">
      <c r="J41" s="106"/>
      <c r="K41" s="106"/>
      <c r="L41" s="106"/>
      <c r="M41" s="106"/>
      <c r="N41" s="106"/>
      <c r="O41" s="106"/>
      <c r="P41" s="106"/>
      <c r="Q41" s="106"/>
      <c r="R41" s="106"/>
    </row>
    <row r="42" spans="2:25" hidden="1" x14ac:dyDescent="0.25">
      <c r="J42" s="107"/>
      <c r="K42" s="107"/>
      <c r="L42" s="107" t="s">
        <v>72</v>
      </c>
      <c r="M42" s="107"/>
      <c r="N42" s="107"/>
      <c r="O42" s="107"/>
      <c r="P42" s="107"/>
    </row>
    <row r="43" spans="2:25" hidden="1" x14ac:dyDescent="0.25">
      <c r="J43" s="108" t="str">
        <f t="shared" ref="J43:P51" si="10">IF(OR(J17=$Q17,AND($Q17=0,J17="X")),"OK","niet OK")</f>
        <v>OK</v>
      </c>
      <c r="K43" s="108" t="str">
        <f t="shared" si="10"/>
        <v>OK</v>
      </c>
      <c r="L43" s="108" t="str">
        <f t="shared" si="10"/>
        <v>OK</v>
      </c>
      <c r="M43" s="108" t="str">
        <f t="shared" si="10"/>
        <v>OK</v>
      </c>
      <c r="N43" s="108" t="str">
        <f t="shared" si="10"/>
        <v>OK</v>
      </c>
      <c r="O43" s="108" t="str">
        <f t="shared" si="10"/>
        <v>OK</v>
      </c>
      <c r="P43" s="108" t="str">
        <f t="shared" si="10"/>
        <v>OK</v>
      </c>
    </row>
    <row r="44" spans="2:25" hidden="1" x14ac:dyDescent="0.25">
      <c r="J44" s="108" t="str">
        <f t="shared" si="10"/>
        <v>OK</v>
      </c>
      <c r="K44" s="108" t="str">
        <f t="shared" si="10"/>
        <v>OK</v>
      </c>
      <c r="L44" s="108" t="str">
        <f t="shared" si="10"/>
        <v>OK</v>
      </c>
      <c r="M44" s="108" t="str">
        <f t="shared" si="10"/>
        <v>OK</v>
      </c>
      <c r="N44" s="108" t="str">
        <f t="shared" si="10"/>
        <v>OK</v>
      </c>
      <c r="O44" s="108" t="str">
        <f t="shared" si="10"/>
        <v>OK</v>
      </c>
      <c r="P44" s="108" t="str">
        <f t="shared" si="10"/>
        <v>OK</v>
      </c>
    </row>
    <row r="45" spans="2:25" hidden="1" x14ac:dyDescent="0.25">
      <c r="J45" s="108" t="str">
        <f t="shared" si="10"/>
        <v>OK</v>
      </c>
      <c r="K45" s="108" t="str">
        <f t="shared" si="10"/>
        <v>OK</v>
      </c>
      <c r="L45" s="108" t="str">
        <f t="shared" si="10"/>
        <v>OK</v>
      </c>
      <c r="M45" s="108" t="str">
        <f t="shared" si="10"/>
        <v>OK</v>
      </c>
      <c r="N45" s="108" t="str">
        <f t="shared" si="10"/>
        <v>OK</v>
      </c>
      <c r="O45" s="108" t="str">
        <f t="shared" si="10"/>
        <v>OK</v>
      </c>
      <c r="P45" s="108" t="str">
        <f t="shared" si="10"/>
        <v>OK</v>
      </c>
    </row>
    <row r="46" spans="2:25" hidden="1" x14ac:dyDescent="0.25">
      <c r="J46" s="108" t="str">
        <f t="shared" si="10"/>
        <v>OK</v>
      </c>
      <c r="K46" s="108" t="str">
        <f t="shared" si="10"/>
        <v>OK</v>
      </c>
      <c r="L46" s="108" t="str">
        <f t="shared" si="10"/>
        <v>OK</v>
      </c>
      <c r="M46" s="108" t="str">
        <f t="shared" si="10"/>
        <v>OK</v>
      </c>
      <c r="N46" s="108" t="str">
        <f t="shared" si="10"/>
        <v>OK</v>
      </c>
      <c r="O46" s="108" t="str">
        <f t="shared" si="10"/>
        <v>OK</v>
      </c>
      <c r="P46" s="108" t="str">
        <f t="shared" si="10"/>
        <v>OK</v>
      </c>
    </row>
    <row r="47" spans="2:25" hidden="1" x14ac:dyDescent="0.25">
      <c r="J47" s="108" t="str">
        <f t="shared" si="10"/>
        <v>OK</v>
      </c>
      <c r="K47" s="108" t="str">
        <f t="shared" si="10"/>
        <v>OK</v>
      </c>
      <c r="L47" s="108" t="str">
        <f t="shared" si="10"/>
        <v>OK</v>
      </c>
      <c r="M47" s="108" t="str">
        <f t="shared" si="10"/>
        <v>OK</v>
      </c>
      <c r="N47" s="108" t="str">
        <f t="shared" si="10"/>
        <v>OK</v>
      </c>
      <c r="O47" s="108" t="str">
        <f t="shared" si="10"/>
        <v>OK</v>
      </c>
      <c r="P47" s="108" t="str">
        <f t="shared" si="10"/>
        <v>OK</v>
      </c>
    </row>
    <row r="48" spans="2:25" hidden="1" x14ac:dyDescent="0.25">
      <c r="J48" s="108" t="str">
        <f t="shared" si="10"/>
        <v>OK</v>
      </c>
      <c r="K48" s="108" t="str">
        <f t="shared" si="10"/>
        <v>OK</v>
      </c>
      <c r="L48" s="108" t="str">
        <f t="shared" si="10"/>
        <v>OK</v>
      </c>
      <c r="M48" s="108" t="str">
        <f t="shared" si="10"/>
        <v>OK</v>
      </c>
      <c r="N48" s="108" t="str">
        <f t="shared" si="10"/>
        <v>OK</v>
      </c>
      <c r="O48" s="108" t="str">
        <f t="shared" si="10"/>
        <v>OK</v>
      </c>
      <c r="P48" s="108" t="str">
        <f t="shared" si="10"/>
        <v>OK</v>
      </c>
    </row>
    <row r="49" spans="10:16" hidden="1" x14ac:dyDescent="0.25">
      <c r="J49" s="108" t="str">
        <f t="shared" si="10"/>
        <v>OK</v>
      </c>
      <c r="K49" s="108" t="str">
        <f t="shared" si="10"/>
        <v>OK</v>
      </c>
      <c r="L49" s="108" t="str">
        <f t="shared" si="10"/>
        <v>OK</v>
      </c>
      <c r="M49" s="108" t="str">
        <f t="shared" si="10"/>
        <v>OK</v>
      </c>
      <c r="N49" s="108" t="str">
        <f t="shared" si="10"/>
        <v>OK</v>
      </c>
      <c r="O49" s="108" t="str">
        <f t="shared" si="10"/>
        <v>OK</v>
      </c>
      <c r="P49" s="108" t="str">
        <f t="shared" si="10"/>
        <v>OK</v>
      </c>
    </row>
    <row r="50" spans="10:16" hidden="1" x14ac:dyDescent="0.25">
      <c r="J50" s="108" t="str">
        <f t="shared" si="10"/>
        <v>OK</v>
      </c>
      <c r="K50" s="108" t="str">
        <f t="shared" si="10"/>
        <v>OK</v>
      </c>
      <c r="L50" s="108" t="str">
        <f t="shared" si="10"/>
        <v>OK</v>
      </c>
      <c r="M50" s="108" t="str">
        <f t="shared" si="10"/>
        <v>OK</v>
      </c>
      <c r="N50" s="108" t="str">
        <f t="shared" si="10"/>
        <v>OK</v>
      </c>
      <c r="O50" s="108" t="str">
        <f t="shared" si="10"/>
        <v>OK</v>
      </c>
      <c r="P50" s="108" t="str">
        <f t="shared" si="10"/>
        <v>OK</v>
      </c>
    </row>
    <row r="51" spans="10:16" hidden="1" x14ac:dyDescent="0.25">
      <c r="J51" s="108" t="str">
        <f t="shared" si="10"/>
        <v>OK</v>
      </c>
      <c r="K51" s="108" t="str">
        <f t="shared" si="10"/>
        <v>OK</v>
      </c>
      <c r="L51" s="108" t="str">
        <f t="shared" si="10"/>
        <v>OK</v>
      </c>
      <c r="M51" s="108" t="str">
        <f t="shared" si="10"/>
        <v>OK</v>
      </c>
      <c r="N51" s="108" t="str">
        <f t="shared" si="10"/>
        <v>OK</v>
      </c>
      <c r="O51" s="108" t="str">
        <f t="shared" si="10"/>
        <v>OK</v>
      </c>
      <c r="P51" s="108" t="str">
        <f t="shared" si="10"/>
        <v>OK</v>
      </c>
    </row>
    <row r="52" spans="10:16" hidden="1" x14ac:dyDescent="0.25">
      <c r="J52" s="108" t="str">
        <f t="shared" ref="J52:P59" si="11">IF(OR(J27=$Q27,AND($Q27=0,J27="X")),"OK","niet OK")</f>
        <v>OK</v>
      </c>
      <c r="K52" s="108" t="str">
        <f t="shared" si="11"/>
        <v>OK</v>
      </c>
      <c r="L52" s="108" t="str">
        <f t="shared" si="11"/>
        <v>OK</v>
      </c>
      <c r="M52" s="108" t="str">
        <f t="shared" si="11"/>
        <v>OK</v>
      </c>
      <c r="N52" s="108" t="str">
        <f t="shared" si="11"/>
        <v>OK</v>
      </c>
      <c r="O52" s="108" t="str">
        <f t="shared" si="11"/>
        <v>OK</v>
      </c>
      <c r="P52" s="108" t="str">
        <f t="shared" si="11"/>
        <v>OK</v>
      </c>
    </row>
    <row r="53" spans="10:16" hidden="1" x14ac:dyDescent="0.25">
      <c r="J53" s="108" t="str">
        <f t="shared" si="11"/>
        <v>OK</v>
      </c>
      <c r="K53" s="108" t="str">
        <f t="shared" si="11"/>
        <v>OK</v>
      </c>
      <c r="L53" s="108" t="str">
        <f t="shared" si="11"/>
        <v>OK</v>
      </c>
      <c r="M53" s="108" t="str">
        <f t="shared" si="11"/>
        <v>OK</v>
      </c>
      <c r="N53" s="108" t="str">
        <f t="shared" si="11"/>
        <v>OK</v>
      </c>
      <c r="O53" s="108" t="str">
        <f t="shared" si="11"/>
        <v>OK</v>
      </c>
      <c r="P53" s="108" t="str">
        <f t="shared" si="11"/>
        <v>OK</v>
      </c>
    </row>
    <row r="54" spans="10:16" hidden="1" x14ac:dyDescent="0.25">
      <c r="J54" s="108" t="str">
        <f t="shared" si="11"/>
        <v>OK</v>
      </c>
      <c r="K54" s="108" t="str">
        <f t="shared" si="11"/>
        <v>OK</v>
      </c>
      <c r="L54" s="108" t="str">
        <f t="shared" si="11"/>
        <v>OK</v>
      </c>
      <c r="M54" s="108" t="str">
        <f t="shared" si="11"/>
        <v>OK</v>
      </c>
      <c r="N54" s="108" t="str">
        <f t="shared" si="11"/>
        <v>OK</v>
      </c>
      <c r="O54" s="108" t="str">
        <f t="shared" si="11"/>
        <v>OK</v>
      </c>
      <c r="P54" s="108" t="str">
        <f t="shared" si="11"/>
        <v>OK</v>
      </c>
    </row>
    <row r="55" spans="10:16" hidden="1" x14ac:dyDescent="0.25">
      <c r="J55" s="108" t="str">
        <f t="shared" si="11"/>
        <v>OK</v>
      </c>
      <c r="K55" s="108" t="str">
        <f t="shared" si="11"/>
        <v>OK</v>
      </c>
      <c r="L55" s="108" t="str">
        <f t="shared" si="11"/>
        <v>OK</v>
      </c>
      <c r="M55" s="108" t="str">
        <f t="shared" si="11"/>
        <v>OK</v>
      </c>
      <c r="N55" s="108" t="str">
        <f t="shared" si="11"/>
        <v>OK</v>
      </c>
      <c r="O55" s="108" t="str">
        <f t="shared" si="11"/>
        <v>OK</v>
      </c>
      <c r="P55" s="108" t="str">
        <f t="shared" si="11"/>
        <v>OK</v>
      </c>
    </row>
    <row r="56" spans="10:16" hidden="1" x14ac:dyDescent="0.25">
      <c r="J56" s="108" t="str">
        <f t="shared" si="11"/>
        <v>OK</v>
      </c>
      <c r="K56" s="108" t="str">
        <f t="shared" si="11"/>
        <v>OK</v>
      </c>
      <c r="L56" s="108" t="str">
        <f t="shared" si="11"/>
        <v>OK</v>
      </c>
      <c r="M56" s="108" t="str">
        <f t="shared" si="11"/>
        <v>OK</v>
      </c>
      <c r="N56" s="108" t="str">
        <f t="shared" si="11"/>
        <v>OK</v>
      </c>
      <c r="O56" s="108" t="str">
        <f t="shared" si="11"/>
        <v>OK</v>
      </c>
      <c r="P56" s="108" t="str">
        <f t="shared" si="11"/>
        <v>OK</v>
      </c>
    </row>
    <row r="57" spans="10:16" hidden="1" x14ac:dyDescent="0.25">
      <c r="J57" s="108" t="str">
        <f t="shared" si="11"/>
        <v>OK</v>
      </c>
      <c r="K57" s="108" t="str">
        <f t="shared" si="11"/>
        <v>OK</v>
      </c>
      <c r="L57" s="108" t="str">
        <f t="shared" si="11"/>
        <v>OK</v>
      </c>
      <c r="M57" s="108" t="str">
        <f t="shared" si="11"/>
        <v>OK</v>
      </c>
      <c r="N57" s="108" t="str">
        <f t="shared" si="11"/>
        <v>OK</v>
      </c>
      <c r="O57" s="108" t="str">
        <f t="shared" si="11"/>
        <v>OK</v>
      </c>
      <c r="P57" s="108" t="str">
        <f t="shared" si="11"/>
        <v>OK</v>
      </c>
    </row>
    <row r="58" spans="10:16" hidden="1" x14ac:dyDescent="0.25">
      <c r="J58" s="108" t="str">
        <f t="shared" si="11"/>
        <v>OK</v>
      </c>
      <c r="K58" s="108" t="str">
        <f t="shared" si="11"/>
        <v>OK</v>
      </c>
      <c r="L58" s="108" t="str">
        <f t="shared" si="11"/>
        <v>OK</v>
      </c>
      <c r="M58" s="108" t="str">
        <f t="shared" si="11"/>
        <v>OK</v>
      </c>
      <c r="N58" s="108" t="str">
        <f t="shared" si="11"/>
        <v>OK</v>
      </c>
      <c r="O58" s="108" t="str">
        <f t="shared" si="11"/>
        <v>OK</v>
      </c>
      <c r="P58" s="108" t="str">
        <f t="shared" si="11"/>
        <v>OK</v>
      </c>
    </row>
    <row r="59" spans="10:16" hidden="1" x14ac:dyDescent="0.25">
      <c r="J59" s="108" t="str">
        <f t="shared" si="11"/>
        <v>OK</v>
      </c>
      <c r="K59" s="108" t="str">
        <f t="shared" si="11"/>
        <v>OK</v>
      </c>
      <c r="L59" s="108" t="str">
        <f t="shared" si="11"/>
        <v>OK</v>
      </c>
      <c r="M59" s="108" t="str">
        <f t="shared" si="11"/>
        <v>OK</v>
      </c>
      <c r="N59" s="108" t="str">
        <f t="shared" si="11"/>
        <v>OK</v>
      </c>
      <c r="O59" s="108" t="str">
        <f t="shared" si="11"/>
        <v>OK</v>
      </c>
      <c r="P59" s="108" t="str">
        <f t="shared" si="11"/>
        <v>OK</v>
      </c>
    </row>
    <row r="60" spans="10:16" hidden="1" x14ac:dyDescent="0.25"/>
    <row r="61" spans="10:16" hidden="1" x14ac:dyDescent="0.25"/>
  </sheetData>
  <protectedRanges>
    <protectedRange algorithmName="SHA-512" hashValue="FkuOLiiU2mjKZgvwGx8E75bKrmCqIjGITea9lnmTbF8YFwSgwmmO0sguAEuD9q85ceVdVlC+ktHNmpwn2QGGzg==" saltValue="cinkr5+j1hImB5wqxc8bTA==" spinCount="100000" sqref="J17:K34 L17:L24 M17:M23 N17:N21 O17:O20 P17:P19 L27:N31 O27:O30 P27:P29 L33 L32:M32" name="te wijzigen"/>
  </protectedRanges>
  <mergeCells count="2">
    <mergeCell ref="C14:E14"/>
    <mergeCell ref="F14:H14"/>
  </mergeCells>
  <conditionalFormatting sqref="J36:P37">
    <cfRule type="cellIs" dxfId="3" priority="2" operator="equal">
      <formula>"niet OK"</formula>
    </cfRule>
  </conditionalFormatting>
  <conditionalFormatting sqref="J38:P41 Q39:R41">
    <cfRule type="cellIs" dxfId="2" priority="1" operator="equal">
      <formula>"JA"</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E294D-D5B8-4CBF-B2A6-D141E1119258}">
  <dimension ref="B1:Z61"/>
  <sheetViews>
    <sheetView topLeftCell="B1" zoomScale="80" zoomScaleNormal="80" workbookViewId="0">
      <selection activeCell="Y11" sqref="Y11"/>
    </sheetView>
  </sheetViews>
  <sheetFormatPr defaultRowHeight="15" x14ac:dyDescent="0.25"/>
  <cols>
    <col min="1" max="1" width="1.5703125" customWidth="1"/>
    <col min="2" max="2" width="21.5703125" customWidth="1"/>
    <col min="3" max="4" width="8.85546875" style="27"/>
    <col min="5" max="5" width="12.140625" style="27" bestFit="1" customWidth="1"/>
    <col min="6" max="8" width="12.140625" style="27" customWidth="1"/>
    <col min="9" max="9" width="6.42578125" style="27" bestFit="1" customWidth="1"/>
    <col min="10" max="16" width="12.7109375" style="24" customWidth="1"/>
    <col min="17" max="17" width="29.7109375" style="27" customWidth="1"/>
    <col min="18" max="18" width="15.7109375" customWidth="1"/>
  </cols>
  <sheetData>
    <row r="1" spans="2:26" ht="23.25" x14ac:dyDescent="0.35">
      <c r="B1" s="21" t="s">
        <v>19</v>
      </c>
      <c r="C1" s="22"/>
      <c r="D1" s="22"/>
      <c r="E1" s="22"/>
      <c r="F1" s="22"/>
      <c r="G1" s="22"/>
      <c r="H1" s="22"/>
      <c r="I1" s="22"/>
      <c r="J1" s="23"/>
      <c r="K1" s="23"/>
      <c r="L1" s="23"/>
      <c r="M1" s="23"/>
      <c r="Q1" s="25" t="s">
        <v>20</v>
      </c>
    </row>
    <row r="2" spans="2:26" ht="18.75" x14ac:dyDescent="0.3">
      <c r="B2" s="26" t="s">
        <v>73</v>
      </c>
      <c r="C2" s="26"/>
      <c r="D2" s="26"/>
      <c r="E2" s="26"/>
      <c r="F2" s="26"/>
      <c r="G2" s="26"/>
      <c r="H2" s="26"/>
      <c r="I2" s="26"/>
      <c r="J2" s="26"/>
      <c r="K2" s="26"/>
      <c r="L2" s="26"/>
      <c r="M2" s="26"/>
      <c r="N2" s="26"/>
      <c r="O2" s="26"/>
      <c r="P2" s="26"/>
      <c r="Q2" s="26"/>
      <c r="R2" s="26"/>
    </row>
    <row r="3" spans="2:26" ht="18.75" x14ac:dyDescent="0.3">
      <c r="B3" s="26" t="s">
        <v>22</v>
      </c>
      <c r="C3" s="26"/>
      <c r="D3" s="26"/>
      <c r="E3" s="26"/>
      <c r="F3" s="26"/>
      <c r="G3" s="26"/>
      <c r="H3" s="26"/>
      <c r="I3" s="26"/>
      <c r="J3" s="26"/>
      <c r="K3" s="26"/>
      <c r="L3" s="26"/>
      <c r="M3" s="26"/>
      <c r="N3" s="26"/>
      <c r="O3" s="26"/>
      <c r="P3" s="26"/>
      <c r="Q3" s="26"/>
      <c r="R3" s="26"/>
    </row>
    <row r="4" spans="2:26" ht="18.75" x14ac:dyDescent="0.3">
      <c r="B4" s="26"/>
      <c r="C4" s="26"/>
      <c r="D4" s="26"/>
      <c r="E4" s="26"/>
      <c r="F4" s="26"/>
      <c r="G4" s="26"/>
      <c r="H4" s="26"/>
      <c r="I4" s="26"/>
      <c r="J4" s="26"/>
      <c r="K4" s="26"/>
      <c r="L4" s="26"/>
      <c r="M4" s="26"/>
      <c r="N4" s="26"/>
      <c r="O4" s="26"/>
      <c r="P4" s="26"/>
      <c r="Q4" s="26"/>
      <c r="R4" s="26"/>
    </row>
    <row r="5" spans="2:26" ht="18.75" x14ac:dyDescent="0.3">
      <c r="B5" s="26"/>
      <c r="C5" s="26"/>
      <c r="D5" s="26"/>
      <c r="E5" s="26"/>
      <c r="F5" s="26"/>
      <c r="G5" s="26"/>
      <c r="H5" s="26"/>
      <c r="I5" s="26"/>
      <c r="J5" s="26"/>
      <c r="K5" s="26"/>
      <c r="L5" s="26"/>
      <c r="M5" s="26"/>
      <c r="N5" s="26"/>
      <c r="O5" s="26"/>
      <c r="P5" s="26"/>
      <c r="Q5" s="26"/>
      <c r="R5" s="26"/>
    </row>
    <row r="6" spans="2:26" ht="18.75" x14ac:dyDescent="0.3">
      <c r="B6" s="26"/>
      <c r="C6" s="26"/>
      <c r="D6" s="26"/>
      <c r="E6" s="26"/>
      <c r="F6" s="26"/>
      <c r="G6" s="26"/>
      <c r="H6" s="26"/>
      <c r="I6" s="26"/>
      <c r="J6" s="26"/>
      <c r="K6" s="26"/>
      <c r="L6" s="26"/>
      <c r="M6" s="26"/>
      <c r="N6" s="26"/>
      <c r="O6" s="26"/>
      <c r="P6" s="26"/>
      <c r="Q6" s="26"/>
      <c r="R6" s="26"/>
    </row>
    <row r="7" spans="2:26" ht="18.75" x14ac:dyDescent="0.3">
      <c r="B7" s="26"/>
      <c r="C7" s="26"/>
      <c r="D7" s="26"/>
      <c r="E7" s="26"/>
      <c r="F7" s="26"/>
      <c r="G7" s="26"/>
      <c r="H7" s="26"/>
      <c r="I7" s="26"/>
      <c r="J7" s="26"/>
      <c r="K7" s="26"/>
      <c r="L7" s="26"/>
      <c r="M7" s="26"/>
      <c r="N7" s="26"/>
      <c r="O7" s="26"/>
      <c r="P7" s="26"/>
      <c r="Q7" s="26"/>
      <c r="R7" s="26"/>
    </row>
    <row r="8" spans="2:26" ht="18.75" x14ac:dyDescent="0.3">
      <c r="B8" s="26"/>
      <c r="C8" s="26"/>
      <c r="D8" s="26"/>
      <c r="E8" s="26"/>
      <c r="F8" s="26"/>
      <c r="G8" s="26"/>
      <c r="H8" s="26"/>
      <c r="I8" s="26"/>
      <c r="J8" s="26"/>
      <c r="K8" s="26"/>
      <c r="L8" s="26"/>
      <c r="M8" s="26"/>
      <c r="N8" s="26"/>
      <c r="O8" s="26"/>
      <c r="P8" s="26"/>
      <c r="Q8" s="26"/>
      <c r="R8" s="26"/>
    </row>
    <row r="9" spans="2:26" ht="18.75" x14ac:dyDescent="0.3">
      <c r="B9" s="26"/>
      <c r="C9" s="26"/>
      <c r="D9" s="26"/>
      <c r="E9" s="26"/>
      <c r="F9" s="26"/>
      <c r="G9" s="26"/>
      <c r="H9" s="26"/>
      <c r="I9" s="26"/>
      <c r="J9" s="26"/>
      <c r="K9" s="26"/>
      <c r="L9" s="26"/>
      <c r="M9" s="26"/>
      <c r="N9" s="26"/>
      <c r="O9" s="26"/>
      <c r="P9" s="26"/>
      <c r="Q9" s="26"/>
      <c r="R9" s="26"/>
    </row>
    <row r="10" spans="2:26" ht="18.75" x14ac:dyDescent="0.3">
      <c r="B10" s="26"/>
      <c r="C10" s="26"/>
      <c r="D10" s="26"/>
      <c r="E10" s="26"/>
      <c r="F10" s="26"/>
      <c r="G10" s="26"/>
      <c r="H10" s="26"/>
      <c r="I10" s="26"/>
      <c r="J10" s="26"/>
      <c r="K10" s="26"/>
      <c r="L10" s="26"/>
      <c r="M10" s="26"/>
      <c r="N10" s="26"/>
      <c r="O10" s="26"/>
      <c r="P10" s="26"/>
      <c r="Q10" s="26"/>
      <c r="R10" s="26"/>
    </row>
    <row r="11" spans="2:26" ht="15.75" thickBot="1" x14ac:dyDescent="0.3">
      <c r="T11" s="121"/>
      <c r="U11" s="121"/>
      <c r="V11" s="121"/>
      <c r="W11" s="121"/>
      <c r="X11" s="121"/>
      <c r="Y11" s="121"/>
      <c r="Z11" s="121"/>
    </row>
    <row r="12" spans="2:26" s="24" customFormat="1" x14ac:dyDescent="0.25">
      <c r="B12" s="28" t="s">
        <v>23</v>
      </c>
      <c r="C12" s="29"/>
      <c r="D12" s="30"/>
      <c r="E12" s="31"/>
      <c r="F12" s="29"/>
      <c r="G12" s="30"/>
      <c r="H12" s="31"/>
      <c r="I12" s="32"/>
      <c r="J12" s="33" t="s">
        <v>24</v>
      </c>
      <c r="K12" s="34" t="s">
        <v>25</v>
      </c>
      <c r="L12" s="34" t="s">
        <v>26</v>
      </c>
      <c r="M12" s="34" t="s">
        <v>27</v>
      </c>
      <c r="N12" s="34" t="s">
        <v>28</v>
      </c>
      <c r="O12" s="34" t="s">
        <v>29</v>
      </c>
      <c r="P12" s="35" t="s">
        <v>30</v>
      </c>
      <c r="Q12" s="36"/>
      <c r="R12" s="37"/>
      <c r="T12" s="120"/>
      <c r="U12" s="120"/>
      <c r="V12" s="120"/>
      <c r="W12" s="120"/>
      <c r="X12" s="120"/>
      <c r="Y12" s="120"/>
      <c r="Z12" s="120"/>
    </row>
    <row r="13" spans="2:26" s="24" customFormat="1" x14ac:dyDescent="0.25">
      <c r="B13" s="38" t="s">
        <v>31</v>
      </c>
      <c r="C13" s="39"/>
      <c r="D13" s="40"/>
      <c r="E13" s="41"/>
      <c r="F13" s="39"/>
      <c r="G13" s="40"/>
      <c r="H13" s="41"/>
      <c r="I13" s="42"/>
      <c r="J13" s="43" t="s">
        <v>32</v>
      </c>
      <c r="K13" s="44" t="s">
        <v>33</v>
      </c>
      <c r="L13" s="44" t="s">
        <v>34</v>
      </c>
      <c r="M13" s="44" t="s">
        <v>35</v>
      </c>
      <c r="N13" s="44" t="s">
        <v>36</v>
      </c>
      <c r="O13" s="44" t="s">
        <v>37</v>
      </c>
      <c r="P13" s="45" t="s">
        <v>38</v>
      </c>
      <c r="Q13" s="46" t="s">
        <v>39</v>
      </c>
      <c r="R13" s="47"/>
      <c r="T13" s="120"/>
      <c r="U13" s="120"/>
      <c r="V13" s="120"/>
      <c r="W13" s="120"/>
      <c r="X13" s="120"/>
      <c r="Y13" s="120"/>
      <c r="Z13" s="120"/>
    </row>
    <row r="14" spans="2:26" s="24" customFormat="1" x14ac:dyDescent="0.25">
      <c r="B14" s="48"/>
      <c r="C14" s="117" t="s">
        <v>40</v>
      </c>
      <c r="D14" s="118"/>
      <c r="E14" s="119"/>
      <c r="F14" s="117" t="s">
        <v>41</v>
      </c>
      <c r="G14" s="118"/>
      <c r="H14" s="119"/>
      <c r="I14" s="49"/>
      <c r="J14" s="50">
        <v>57</v>
      </c>
      <c r="K14" s="24">
        <v>72</v>
      </c>
      <c r="L14" s="24">
        <v>90</v>
      </c>
      <c r="M14" s="24">
        <v>113</v>
      </c>
      <c r="N14" s="24">
        <v>144</v>
      </c>
      <c r="O14" s="24">
        <v>180</v>
      </c>
      <c r="P14" s="51">
        <v>225</v>
      </c>
      <c r="Q14" s="46" t="s">
        <v>42</v>
      </c>
      <c r="R14" s="47"/>
      <c r="T14" s="120"/>
      <c r="U14" s="120"/>
      <c r="V14" s="120"/>
      <c r="W14" s="120"/>
      <c r="X14" s="120"/>
      <c r="Y14" s="120"/>
      <c r="Z14" s="120"/>
    </row>
    <row r="15" spans="2:26" s="24" customFormat="1" x14ac:dyDescent="0.25">
      <c r="B15" s="48"/>
      <c r="C15" s="52" t="s">
        <v>43</v>
      </c>
      <c r="D15" s="27" t="s">
        <v>43</v>
      </c>
      <c r="E15" s="53" t="s">
        <v>43</v>
      </c>
      <c r="F15" s="52" t="s">
        <v>43</v>
      </c>
      <c r="G15" s="27" t="s">
        <v>43</v>
      </c>
      <c r="H15" s="53" t="s">
        <v>43</v>
      </c>
      <c r="I15" s="49" t="s">
        <v>14</v>
      </c>
      <c r="J15" s="50" t="s">
        <v>43</v>
      </c>
      <c r="K15" s="24" t="s">
        <v>43</v>
      </c>
      <c r="L15" s="24" t="s">
        <v>43</v>
      </c>
      <c r="M15" s="24" t="s">
        <v>43</v>
      </c>
      <c r="N15" s="24" t="s">
        <v>43</v>
      </c>
      <c r="O15" s="24" t="s">
        <v>43</v>
      </c>
      <c r="P15" s="51" t="s">
        <v>43</v>
      </c>
      <c r="Q15" s="46" t="s">
        <v>44</v>
      </c>
      <c r="R15" s="47"/>
      <c r="T15" s="120"/>
      <c r="U15" s="120"/>
      <c r="V15" s="120"/>
      <c r="W15" s="120"/>
      <c r="X15" s="120"/>
      <c r="Y15" s="120"/>
      <c r="Z15" s="120"/>
    </row>
    <row r="16" spans="2:26" s="24" customFormat="1" x14ac:dyDescent="0.25">
      <c r="B16" s="54" t="s">
        <v>45</v>
      </c>
      <c r="C16" s="55" t="s">
        <v>46</v>
      </c>
      <c r="D16" s="56" t="s">
        <v>47</v>
      </c>
      <c r="E16" s="57" t="s">
        <v>48</v>
      </c>
      <c r="F16" s="55" t="s">
        <v>46</v>
      </c>
      <c r="G16" s="56" t="s">
        <v>47</v>
      </c>
      <c r="H16" s="57" t="s">
        <v>48</v>
      </c>
      <c r="I16" s="58" t="s">
        <v>49</v>
      </c>
      <c r="J16" s="59">
        <v>0.215</v>
      </c>
      <c r="K16" s="60">
        <v>0.17</v>
      </c>
      <c r="L16" s="60">
        <v>0.13600000000000001</v>
      </c>
      <c r="M16" s="60">
        <v>0.109</v>
      </c>
      <c r="N16" s="60">
        <v>8.5000000000000006E-2</v>
      </c>
      <c r="O16" s="60">
        <v>6.8000000000000005E-2</v>
      </c>
      <c r="P16" s="61">
        <v>5.5E-2</v>
      </c>
      <c r="Q16" s="62" t="s">
        <v>50</v>
      </c>
      <c r="R16" s="63"/>
      <c r="T16" s="120"/>
      <c r="U16" s="120"/>
      <c r="V16" s="120"/>
      <c r="W16" s="120"/>
      <c r="X16" s="120"/>
      <c r="Y16" s="120"/>
      <c r="Z16" s="120"/>
    </row>
    <row r="17" spans="2:26" s="24" customFormat="1" x14ac:dyDescent="0.25">
      <c r="B17" s="48" t="s">
        <v>51</v>
      </c>
      <c r="C17" s="64">
        <v>0.129</v>
      </c>
      <c r="D17" s="65">
        <v>7.2999999999999995E-2</v>
      </c>
      <c r="E17" s="66">
        <f>SQRT(C17^2+D17^2)</f>
        <v>0.14822280526288795</v>
      </c>
      <c r="F17" s="64">
        <f t="shared" ref="F17:F25" si="0">+C17*Q17/1000</f>
        <v>0</v>
      </c>
      <c r="G17" s="65">
        <f t="shared" ref="G17:G25" si="1">+Q17*D17/1000</f>
        <v>0</v>
      </c>
      <c r="H17" s="66"/>
      <c r="I17" s="67">
        <v>343.60199999999998</v>
      </c>
      <c r="J17" s="68">
        <f t="shared" ref="J17:P34" si="2">+$Q17</f>
        <v>0</v>
      </c>
      <c r="K17" s="69">
        <f t="shared" si="2"/>
        <v>0</v>
      </c>
      <c r="L17" s="69">
        <f t="shared" si="2"/>
        <v>0</v>
      </c>
      <c r="M17" s="69">
        <f t="shared" si="2"/>
        <v>0</v>
      </c>
      <c r="N17" s="69">
        <f t="shared" si="2"/>
        <v>0</v>
      </c>
      <c r="O17" s="69">
        <f t="shared" si="2"/>
        <v>0</v>
      </c>
      <c r="P17" s="70">
        <f t="shared" si="2"/>
        <v>0</v>
      </c>
      <c r="Q17" s="71"/>
      <c r="R17" s="72" t="s">
        <v>51</v>
      </c>
      <c r="T17" s="120"/>
      <c r="U17" s="120"/>
      <c r="V17" s="120"/>
      <c r="W17" s="120"/>
      <c r="X17" s="120"/>
      <c r="Y17" s="120"/>
      <c r="Z17" s="120"/>
    </row>
    <row r="18" spans="2:26" s="24" customFormat="1" x14ac:dyDescent="0.25">
      <c r="B18" s="48" t="s">
        <v>52</v>
      </c>
      <c r="C18" s="64">
        <v>0.20599999999999999</v>
      </c>
      <c r="D18" s="65">
        <v>7.9000000000000001E-2</v>
      </c>
      <c r="E18" s="66">
        <f t="shared" ref="E18:E23" si="3">SQRT(C18^2+D18^2)</f>
        <v>0.22062864727863424</v>
      </c>
      <c r="F18" s="64">
        <f t="shared" si="0"/>
        <v>0</v>
      </c>
      <c r="G18" s="65">
        <f t="shared" si="1"/>
        <v>0</v>
      </c>
      <c r="H18" s="66"/>
      <c r="I18" s="67">
        <v>260.21249999999998</v>
      </c>
      <c r="J18" s="68">
        <f t="shared" si="2"/>
        <v>0</v>
      </c>
      <c r="K18" s="69">
        <f t="shared" si="2"/>
        <v>0</v>
      </c>
      <c r="L18" s="69">
        <f t="shared" si="2"/>
        <v>0</v>
      </c>
      <c r="M18" s="69">
        <f t="shared" si="2"/>
        <v>0</v>
      </c>
      <c r="N18" s="69">
        <f t="shared" si="2"/>
        <v>0</v>
      </c>
      <c r="O18" s="69">
        <f t="shared" si="2"/>
        <v>0</v>
      </c>
      <c r="P18" s="70">
        <f t="shared" si="2"/>
        <v>0</v>
      </c>
      <c r="Q18" s="71"/>
      <c r="R18" s="72" t="s">
        <v>52</v>
      </c>
      <c r="T18" s="120"/>
      <c r="U18" s="120"/>
      <c r="V18" s="120"/>
      <c r="W18" s="120"/>
      <c r="X18" s="120"/>
      <c r="Y18" s="120"/>
      <c r="Z18" s="120"/>
    </row>
    <row r="19" spans="2:26" s="24" customFormat="1" x14ac:dyDescent="0.25">
      <c r="B19" s="48" t="s">
        <v>53</v>
      </c>
      <c r="C19" s="64">
        <v>0.28100000000000003</v>
      </c>
      <c r="D19" s="65">
        <v>8.1000000000000003E-2</v>
      </c>
      <c r="E19" s="66">
        <f t="shared" si="3"/>
        <v>0.29244144713087439</v>
      </c>
      <c r="F19" s="64">
        <f t="shared" si="0"/>
        <v>0</v>
      </c>
      <c r="G19" s="65">
        <f t="shared" si="1"/>
        <v>0</v>
      </c>
      <c r="H19" s="66"/>
      <c r="I19" s="67">
        <v>232.8426</v>
      </c>
      <c r="J19" s="68">
        <f t="shared" si="2"/>
        <v>0</v>
      </c>
      <c r="K19" s="69">
        <f t="shared" si="2"/>
        <v>0</v>
      </c>
      <c r="L19" s="69">
        <f t="shared" si="2"/>
        <v>0</v>
      </c>
      <c r="M19" s="69">
        <f t="shared" si="2"/>
        <v>0</v>
      </c>
      <c r="N19" s="69">
        <f t="shared" si="2"/>
        <v>0</v>
      </c>
      <c r="O19" s="69">
        <f t="shared" si="2"/>
        <v>0</v>
      </c>
      <c r="P19" s="70">
        <f t="shared" si="2"/>
        <v>0</v>
      </c>
      <c r="Q19" s="71"/>
      <c r="R19" s="72" t="s">
        <v>53</v>
      </c>
      <c r="T19" s="120"/>
      <c r="U19" s="120"/>
      <c r="V19" s="120"/>
      <c r="W19" s="120"/>
      <c r="X19" s="120"/>
      <c r="Y19" s="120"/>
      <c r="Z19" s="120"/>
    </row>
    <row r="20" spans="2:26" s="24" customFormat="1" x14ac:dyDescent="0.25">
      <c r="B20" s="48" t="s">
        <v>54</v>
      </c>
      <c r="C20" s="64">
        <v>0.32</v>
      </c>
      <c r="D20" s="65">
        <v>8.2000000000000003E-2</v>
      </c>
      <c r="E20" s="66">
        <f t="shared" si="3"/>
        <v>0.33033921959101376</v>
      </c>
      <c r="F20" s="64">
        <f t="shared" si="0"/>
        <v>0</v>
      </c>
      <c r="G20" s="65">
        <f t="shared" si="1"/>
        <v>0</v>
      </c>
      <c r="H20" s="66"/>
      <c r="I20" s="67">
        <v>203.60159999999999</v>
      </c>
      <c r="J20" s="68">
        <f t="shared" si="2"/>
        <v>0</v>
      </c>
      <c r="K20" s="69">
        <f t="shared" si="2"/>
        <v>0</v>
      </c>
      <c r="L20" s="69">
        <f t="shared" si="2"/>
        <v>0</v>
      </c>
      <c r="M20" s="69">
        <f t="shared" si="2"/>
        <v>0</v>
      </c>
      <c r="N20" s="69">
        <f t="shared" si="2"/>
        <v>0</v>
      </c>
      <c r="O20" s="69">
        <f t="shared" si="2"/>
        <v>0</v>
      </c>
      <c r="P20" s="73" t="s">
        <v>47</v>
      </c>
      <c r="Q20" s="71"/>
      <c r="R20" s="72" t="s">
        <v>54</v>
      </c>
      <c r="T20" s="120"/>
      <c r="U20" s="120"/>
      <c r="V20" s="120"/>
      <c r="W20" s="120"/>
      <c r="X20" s="120"/>
      <c r="Y20" s="120"/>
      <c r="Z20" s="120"/>
    </row>
    <row r="21" spans="2:26" s="24" customFormat="1" x14ac:dyDescent="0.25">
      <c r="B21" s="48" t="s">
        <v>55</v>
      </c>
      <c r="C21" s="64">
        <v>0.443</v>
      </c>
      <c r="D21" s="65">
        <f>(D20+D22)/2</f>
        <v>8.3500000000000005E-2</v>
      </c>
      <c r="E21" s="66">
        <f>SQRT(C21^2+D21^2)</f>
        <v>0.45080067657447015</v>
      </c>
      <c r="F21" s="64">
        <f t="shared" si="0"/>
        <v>0</v>
      </c>
      <c r="G21" s="65">
        <f t="shared" si="1"/>
        <v>0</v>
      </c>
      <c r="H21" s="66"/>
      <c r="I21" s="67">
        <v>169.14420000000001</v>
      </c>
      <c r="J21" s="68">
        <f t="shared" si="2"/>
        <v>0</v>
      </c>
      <c r="K21" s="69">
        <f t="shared" si="2"/>
        <v>0</v>
      </c>
      <c r="L21" s="69">
        <f t="shared" si="2"/>
        <v>0</v>
      </c>
      <c r="M21" s="69">
        <f t="shared" si="2"/>
        <v>0</v>
      </c>
      <c r="N21" s="69">
        <f t="shared" si="2"/>
        <v>0</v>
      </c>
      <c r="O21" s="74" t="s">
        <v>47</v>
      </c>
      <c r="P21" s="75" t="s">
        <v>47</v>
      </c>
      <c r="Q21" s="71"/>
      <c r="R21" s="72" t="s">
        <v>55</v>
      </c>
      <c r="T21" s="120"/>
      <c r="U21" s="120"/>
      <c r="V21" s="120"/>
      <c r="W21" s="120"/>
      <c r="X21" s="120"/>
      <c r="Y21" s="120"/>
      <c r="Z21" s="120"/>
    </row>
    <row r="22" spans="2:26" s="24" customFormat="1" x14ac:dyDescent="0.25">
      <c r="B22" s="48" t="s">
        <v>56</v>
      </c>
      <c r="C22" s="64">
        <v>0.64100000000000001</v>
      </c>
      <c r="D22" s="65">
        <v>8.5000000000000006E-2</v>
      </c>
      <c r="E22" s="66">
        <f t="shared" si="3"/>
        <v>0.64661116600318613</v>
      </c>
      <c r="F22" s="64">
        <f t="shared" si="0"/>
        <v>0</v>
      </c>
      <c r="G22" s="65">
        <f t="shared" si="1"/>
        <v>0</v>
      </c>
      <c r="H22" s="66"/>
      <c r="I22" s="67">
        <v>137.34360000000004</v>
      </c>
      <c r="J22" s="68">
        <f t="shared" si="2"/>
        <v>0</v>
      </c>
      <c r="K22" s="69">
        <f t="shared" si="2"/>
        <v>0</v>
      </c>
      <c r="L22" s="69">
        <f t="shared" si="2"/>
        <v>0</v>
      </c>
      <c r="M22" s="69">
        <f t="shared" si="2"/>
        <v>0</v>
      </c>
      <c r="N22" s="74" t="s">
        <v>47</v>
      </c>
      <c r="O22" s="74" t="s">
        <v>47</v>
      </c>
      <c r="P22" s="73" t="s">
        <v>47</v>
      </c>
      <c r="Q22" s="71"/>
      <c r="R22" s="72" t="s">
        <v>56</v>
      </c>
      <c r="T22" s="120"/>
      <c r="U22" s="120"/>
      <c r="V22" s="120"/>
      <c r="W22" s="120"/>
      <c r="X22" s="120"/>
      <c r="Y22" s="120"/>
      <c r="Z22" s="120"/>
    </row>
    <row r="23" spans="2:26" s="24" customFormat="1" x14ac:dyDescent="0.25">
      <c r="B23" s="48" t="s">
        <v>57</v>
      </c>
      <c r="C23" s="64">
        <v>0.86799999999999999</v>
      </c>
      <c r="D23" s="65">
        <v>0.10100000000000001</v>
      </c>
      <c r="E23" s="66">
        <f t="shared" si="3"/>
        <v>0.87385639552503136</v>
      </c>
      <c r="F23" s="64">
        <f t="shared" si="0"/>
        <v>0</v>
      </c>
      <c r="G23" s="65">
        <f t="shared" si="1"/>
        <v>0</v>
      </c>
      <c r="H23" s="66"/>
      <c r="I23" s="67">
        <v>115.09290000000001</v>
      </c>
      <c r="J23" s="68">
        <f t="shared" si="2"/>
        <v>0</v>
      </c>
      <c r="K23" s="69">
        <f t="shared" si="2"/>
        <v>0</v>
      </c>
      <c r="L23" s="69">
        <f t="shared" si="2"/>
        <v>0</v>
      </c>
      <c r="M23" s="69">
        <f t="shared" si="2"/>
        <v>0</v>
      </c>
      <c r="N23" s="74" t="s">
        <v>47</v>
      </c>
      <c r="O23" s="74" t="s">
        <v>47</v>
      </c>
      <c r="P23" s="75" t="s">
        <v>47</v>
      </c>
      <c r="Q23" s="71"/>
      <c r="R23" s="72" t="s">
        <v>57</v>
      </c>
      <c r="T23" s="120"/>
      <c r="U23" s="120"/>
      <c r="V23" s="120"/>
      <c r="W23" s="120"/>
      <c r="X23" s="120"/>
      <c r="Y23" s="120"/>
      <c r="Z23" s="120"/>
    </row>
    <row r="24" spans="2:26" s="24" customFormat="1" x14ac:dyDescent="0.25">
      <c r="B24" s="48" t="s">
        <v>58</v>
      </c>
      <c r="C24" s="64">
        <v>1.2</v>
      </c>
      <c r="D24" s="65">
        <v>9.4E-2</v>
      </c>
      <c r="E24" s="66">
        <f>SQRT(C24^2+D24^2)</f>
        <v>1.2036760361492622</v>
      </c>
      <c r="F24" s="64">
        <f t="shared" si="0"/>
        <v>0</v>
      </c>
      <c r="G24" s="65">
        <f t="shared" si="1"/>
        <v>0</v>
      </c>
      <c r="H24" s="66"/>
      <c r="I24" s="67">
        <v>95.993099999999998</v>
      </c>
      <c r="J24" s="68">
        <f t="shared" si="2"/>
        <v>0</v>
      </c>
      <c r="K24" s="69">
        <f t="shared" si="2"/>
        <v>0</v>
      </c>
      <c r="L24" s="69">
        <f t="shared" si="2"/>
        <v>0</v>
      </c>
      <c r="M24" s="74" t="s">
        <v>47</v>
      </c>
      <c r="N24" s="74" t="s">
        <v>47</v>
      </c>
      <c r="O24" s="74" t="s">
        <v>47</v>
      </c>
      <c r="P24" s="75" t="s">
        <v>47</v>
      </c>
      <c r="Q24" s="71"/>
      <c r="R24" s="72" t="s">
        <v>58</v>
      </c>
      <c r="T24" s="120"/>
      <c r="U24" s="120"/>
      <c r="V24" s="120"/>
      <c r="W24" s="120"/>
      <c r="X24" s="120"/>
      <c r="Y24" s="120"/>
      <c r="Z24" s="120"/>
    </row>
    <row r="25" spans="2:26" s="24" customFormat="1" x14ac:dyDescent="0.25">
      <c r="B25" s="48" t="s">
        <v>59</v>
      </c>
      <c r="C25" s="64">
        <v>1.91</v>
      </c>
      <c r="D25" s="65">
        <v>9.6000000000000002E-2</v>
      </c>
      <c r="E25" s="66">
        <f>SQRT(C25^2+D25^2)</f>
        <v>1.9124110436828166</v>
      </c>
      <c r="F25" s="64">
        <f t="shared" si="0"/>
        <v>0</v>
      </c>
      <c r="G25" s="65">
        <f t="shared" si="1"/>
        <v>0</v>
      </c>
      <c r="H25" s="66"/>
      <c r="I25" s="67">
        <v>74.333700000000007</v>
      </c>
      <c r="J25" s="68">
        <f t="shared" si="2"/>
        <v>0</v>
      </c>
      <c r="K25" s="69">
        <f t="shared" si="2"/>
        <v>0</v>
      </c>
      <c r="L25" s="74" t="s">
        <v>47</v>
      </c>
      <c r="M25" s="74" t="s">
        <v>47</v>
      </c>
      <c r="N25" s="74" t="s">
        <v>47</v>
      </c>
      <c r="O25" s="74" t="s">
        <v>47</v>
      </c>
      <c r="P25" s="75" t="s">
        <v>47</v>
      </c>
      <c r="Q25" s="71"/>
      <c r="R25" s="72" t="s">
        <v>59</v>
      </c>
      <c r="T25" s="120"/>
      <c r="U25" s="120"/>
      <c r="V25" s="120"/>
      <c r="W25" s="120"/>
      <c r="X25" s="120"/>
      <c r="Y25" s="120"/>
      <c r="Z25" s="120"/>
    </row>
    <row r="26" spans="2:26" s="24" customFormat="1" x14ac:dyDescent="0.25">
      <c r="B26" s="48"/>
      <c r="C26" s="64"/>
      <c r="D26" s="65"/>
      <c r="E26" s="66"/>
      <c r="F26" s="64"/>
      <c r="G26" s="65"/>
      <c r="H26" s="66"/>
      <c r="I26" s="67"/>
      <c r="J26" s="68"/>
      <c r="K26" s="69"/>
      <c r="L26" s="74"/>
      <c r="M26" s="74"/>
      <c r="N26" s="74"/>
      <c r="O26" s="74"/>
      <c r="P26" s="75"/>
      <c r="Q26" s="71"/>
      <c r="R26" s="72"/>
      <c r="T26" s="120"/>
      <c r="U26" s="120"/>
      <c r="V26" s="120"/>
      <c r="W26" s="120"/>
      <c r="X26" s="120"/>
      <c r="Y26" s="120"/>
      <c r="Z26" s="120"/>
    </row>
    <row r="27" spans="2:26" s="24" customFormat="1" x14ac:dyDescent="0.25">
      <c r="B27" s="48" t="s">
        <v>60</v>
      </c>
      <c r="C27" s="64">
        <v>0.107</v>
      </c>
      <c r="D27" s="65">
        <v>6.8000000000000005E-2</v>
      </c>
      <c r="E27" s="66">
        <f t="shared" ref="E27:E34" si="4">SQRT(C27^2+D27^2)</f>
        <v>0.12677933585565118</v>
      </c>
      <c r="F27" s="64">
        <f t="shared" ref="F27:F34" si="5">+C27*Q27/1000</f>
        <v>0</v>
      </c>
      <c r="G27" s="65">
        <f t="shared" ref="G27:G34" si="6">+Q27*D27/1000</f>
        <v>0</v>
      </c>
      <c r="H27" s="66"/>
      <c r="I27" s="67">
        <v>382.98419999999999</v>
      </c>
      <c r="J27" s="68">
        <f t="shared" si="2"/>
        <v>0</v>
      </c>
      <c r="K27" s="69">
        <f t="shared" si="2"/>
        <v>0</v>
      </c>
      <c r="L27" s="69">
        <f t="shared" si="2"/>
        <v>0</v>
      </c>
      <c r="M27" s="69">
        <f t="shared" si="2"/>
        <v>0</v>
      </c>
      <c r="N27" s="69">
        <f t="shared" si="2"/>
        <v>0</v>
      </c>
      <c r="O27" s="69">
        <f t="shared" si="2"/>
        <v>0</v>
      </c>
      <c r="P27" s="70">
        <f t="shared" si="2"/>
        <v>0</v>
      </c>
      <c r="Q27" s="71"/>
      <c r="R27" s="72" t="s">
        <v>60</v>
      </c>
      <c r="T27" s="120"/>
      <c r="U27" s="120"/>
      <c r="V27" s="120"/>
      <c r="W27" s="120"/>
      <c r="X27" s="120"/>
      <c r="Y27" s="120"/>
      <c r="Z27" s="120"/>
    </row>
    <row r="28" spans="2:26" s="24" customFormat="1" x14ac:dyDescent="0.25">
      <c r="B28" s="48" t="s">
        <v>61</v>
      </c>
      <c r="C28" s="64">
        <v>0.125</v>
      </c>
      <c r="D28" s="65">
        <v>6.8000000000000005E-2</v>
      </c>
      <c r="E28" s="66">
        <f t="shared" si="4"/>
        <v>0.14229898102235308</v>
      </c>
      <c r="F28" s="64">
        <f t="shared" si="5"/>
        <v>0</v>
      </c>
      <c r="G28" s="65">
        <f t="shared" si="6"/>
        <v>0</v>
      </c>
      <c r="H28" s="66"/>
      <c r="I28" s="67">
        <v>339.07410000000004</v>
      </c>
      <c r="J28" s="68">
        <f t="shared" si="2"/>
        <v>0</v>
      </c>
      <c r="K28" s="69">
        <f t="shared" si="2"/>
        <v>0</v>
      </c>
      <c r="L28" s="69">
        <f t="shared" si="2"/>
        <v>0</v>
      </c>
      <c r="M28" s="69">
        <f t="shared" si="2"/>
        <v>0</v>
      </c>
      <c r="N28" s="69">
        <f t="shared" si="2"/>
        <v>0</v>
      </c>
      <c r="O28" s="69">
        <f t="shared" si="2"/>
        <v>0</v>
      </c>
      <c r="P28" s="70">
        <f t="shared" si="2"/>
        <v>0</v>
      </c>
      <c r="Q28" s="71"/>
      <c r="R28" s="72" t="s">
        <v>61</v>
      </c>
      <c r="T28" s="120"/>
      <c r="U28" s="120"/>
      <c r="V28" s="120"/>
      <c r="W28" s="120"/>
      <c r="X28" s="120"/>
      <c r="Y28" s="120"/>
      <c r="Z28" s="120"/>
    </row>
    <row r="29" spans="2:26" s="24" customFormat="1" x14ac:dyDescent="0.25">
      <c r="B29" s="48" t="s">
        <v>62</v>
      </c>
      <c r="C29" s="64">
        <v>0.19400000000000001</v>
      </c>
      <c r="D29" s="65">
        <v>6.9000000000000006E-2</v>
      </c>
      <c r="E29" s="66">
        <f t="shared" si="4"/>
        <v>0.20590531804691203</v>
      </c>
      <c r="F29" s="64">
        <f t="shared" si="5"/>
        <v>0</v>
      </c>
      <c r="G29" s="65">
        <f t="shared" si="6"/>
        <v>0</v>
      </c>
      <c r="H29" s="66"/>
      <c r="I29" s="67">
        <v>266.51430000000005</v>
      </c>
      <c r="J29" s="68">
        <f t="shared" si="2"/>
        <v>0</v>
      </c>
      <c r="K29" s="69">
        <f t="shared" si="2"/>
        <v>0</v>
      </c>
      <c r="L29" s="69">
        <f t="shared" si="2"/>
        <v>0</v>
      </c>
      <c r="M29" s="69">
        <f t="shared" si="2"/>
        <v>0</v>
      </c>
      <c r="N29" s="69">
        <f t="shared" si="2"/>
        <v>0</v>
      </c>
      <c r="O29" s="69">
        <f t="shared" si="2"/>
        <v>0</v>
      </c>
      <c r="P29" s="70">
        <f t="shared" si="2"/>
        <v>0</v>
      </c>
      <c r="Q29" s="71"/>
      <c r="R29" s="72" t="s">
        <v>62</v>
      </c>
      <c r="T29" s="120"/>
      <c r="U29" s="120"/>
      <c r="V29" s="120"/>
      <c r="W29" s="120"/>
      <c r="X29" s="120"/>
      <c r="Y29" s="120"/>
      <c r="Z29" s="120"/>
    </row>
    <row r="30" spans="2:26" s="24" customFormat="1" x14ac:dyDescent="0.25">
      <c r="B30" s="48" t="s">
        <v>63</v>
      </c>
      <c r="C30" s="64">
        <v>0.26800000000000002</v>
      </c>
      <c r="D30" s="65">
        <v>7.1999999999999995E-2</v>
      </c>
      <c r="E30" s="66">
        <f t="shared" si="4"/>
        <v>0.27750315313523916</v>
      </c>
      <c r="F30" s="64">
        <f t="shared" si="5"/>
        <v>0</v>
      </c>
      <c r="G30" s="65">
        <f t="shared" si="6"/>
        <v>0</v>
      </c>
      <c r="H30" s="66"/>
      <c r="I30" s="67">
        <v>222.70139999999998</v>
      </c>
      <c r="J30" s="68">
        <f t="shared" si="2"/>
        <v>0</v>
      </c>
      <c r="K30" s="69">
        <f t="shared" si="2"/>
        <v>0</v>
      </c>
      <c r="L30" s="69">
        <f t="shared" si="2"/>
        <v>0</v>
      </c>
      <c r="M30" s="69">
        <f t="shared" si="2"/>
        <v>0</v>
      </c>
      <c r="N30" s="69">
        <f t="shared" si="2"/>
        <v>0</v>
      </c>
      <c r="O30" s="69">
        <f t="shared" si="2"/>
        <v>0</v>
      </c>
      <c r="P30" s="75" t="s">
        <v>47</v>
      </c>
      <c r="Q30" s="71"/>
      <c r="R30" s="72" t="s">
        <v>63</v>
      </c>
      <c r="T30" s="120"/>
      <c r="U30" s="120"/>
      <c r="V30" s="120"/>
      <c r="W30" s="120"/>
      <c r="X30" s="120"/>
      <c r="Y30" s="120"/>
      <c r="Z30" s="120"/>
    </row>
    <row r="31" spans="2:26" s="24" customFormat="1" x14ac:dyDescent="0.25">
      <c r="B31" s="48" t="s">
        <v>64</v>
      </c>
      <c r="C31" s="64">
        <v>0.38700000000000001</v>
      </c>
      <c r="D31" s="65">
        <v>8.5000000000000006E-2</v>
      </c>
      <c r="E31" s="66">
        <f t="shared" si="4"/>
        <v>0.39622468373386333</v>
      </c>
      <c r="F31" s="64">
        <f t="shared" si="5"/>
        <v>0</v>
      </c>
      <c r="G31" s="65">
        <f t="shared" si="6"/>
        <v>0</v>
      </c>
      <c r="H31" s="66"/>
      <c r="I31" s="67">
        <v>179.97390000000001</v>
      </c>
      <c r="J31" s="68">
        <f t="shared" si="2"/>
        <v>0</v>
      </c>
      <c r="K31" s="69">
        <f t="shared" si="2"/>
        <v>0</v>
      </c>
      <c r="L31" s="69">
        <f t="shared" si="2"/>
        <v>0</v>
      </c>
      <c r="M31" s="69">
        <f t="shared" si="2"/>
        <v>0</v>
      </c>
      <c r="N31" s="69">
        <f t="shared" si="2"/>
        <v>0</v>
      </c>
      <c r="O31" s="74" t="s">
        <v>47</v>
      </c>
      <c r="P31" s="75" t="s">
        <v>47</v>
      </c>
      <c r="Q31" s="71"/>
      <c r="R31" s="72" t="s">
        <v>64</v>
      </c>
      <c r="T31" s="120"/>
      <c r="U31" s="120"/>
      <c r="V31" s="120"/>
      <c r="W31" s="120"/>
      <c r="X31" s="120"/>
      <c r="Y31" s="120"/>
      <c r="Z31" s="120"/>
    </row>
    <row r="32" spans="2:26" s="24" customFormat="1" x14ac:dyDescent="0.25">
      <c r="B32" s="48" t="s">
        <v>65</v>
      </c>
      <c r="C32" s="64">
        <v>0.52400000000000002</v>
      </c>
      <c r="D32" s="65">
        <v>0.1</v>
      </c>
      <c r="E32" s="66">
        <f t="shared" si="4"/>
        <v>0.53345665240954676</v>
      </c>
      <c r="F32" s="64">
        <f t="shared" si="5"/>
        <v>0</v>
      </c>
      <c r="G32" s="65">
        <f t="shared" si="6"/>
        <v>0</v>
      </c>
      <c r="H32" s="66"/>
      <c r="I32" s="67">
        <v>152.0127</v>
      </c>
      <c r="J32" s="68">
        <f t="shared" si="2"/>
        <v>0</v>
      </c>
      <c r="K32" s="69">
        <f t="shared" si="2"/>
        <v>0</v>
      </c>
      <c r="L32" s="69">
        <f t="shared" si="2"/>
        <v>0</v>
      </c>
      <c r="M32" s="69">
        <f t="shared" si="2"/>
        <v>0</v>
      </c>
      <c r="N32" s="74" t="s">
        <v>47</v>
      </c>
      <c r="O32" s="74" t="s">
        <v>47</v>
      </c>
      <c r="P32" s="75" t="s">
        <v>47</v>
      </c>
      <c r="Q32" s="71"/>
      <c r="R32" s="72" t="s">
        <v>65</v>
      </c>
      <c r="T32" s="120"/>
      <c r="U32" s="120"/>
      <c r="V32" s="120"/>
      <c r="W32" s="120"/>
      <c r="X32" s="120"/>
      <c r="Y32" s="120"/>
      <c r="Z32" s="120"/>
    </row>
    <row r="33" spans="2:26" s="24" customFormat="1" x14ac:dyDescent="0.25">
      <c r="B33" s="48" t="s">
        <v>66</v>
      </c>
      <c r="C33" s="64">
        <v>0.72699999999999998</v>
      </c>
      <c r="D33" s="65">
        <v>9.4E-2</v>
      </c>
      <c r="E33" s="66">
        <f t="shared" si="4"/>
        <v>0.73305183991311273</v>
      </c>
      <c r="F33" s="64">
        <f t="shared" si="5"/>
        <v>0</v>
      </c>
      <c r="G33" s="65">
        <f t="shared" si="6"/>
        <v>0</v>
      </c>
      <c r="H33" s="66"/>
      <c r="I33" s="67">
        <v>126.61109999999999</v>
      </c>
      <c r="J33" s="68">
        <f t="shared" si="2"/>
        <v>0</v>
      </c>
      <c r="K33" s="69">
        <f t="shared" si="2"/>
        <v>0</v>
      </c>
      <c r="L33" s="69">
        <f t="shared" si="2"/>
        <v>0</v>
      </c>
      <c r="M33" s="74" t="s">
        <v>47</v>
      </c>
      <c r="N33" s="74" t="s">
        <v>47</v>
      </c>
      <c r="O33" s="74" t="s">
        <v>47</v>
      </c>
      <c r="P33" s="75" t="s">
        <v>47</v>
      </c>
      <c r="Q33" s="71"/>
      <c r="R33" s="72" t="s">
        <v>66</v>
      </c>
      <c r="T33" s="120"/>
      <c r="U33" s="120"/>
      <c r="V33" s="120"/>
      <c r="W33" s="120"/>
      <c r="X33" s="120"/>
      <c r="Y33" s="120"/>
      <c r="Z33" s="120"/>
    </row>
    <row r="34" spans="2:26" s="24" customFormat="1" x14ac:dyDescent="0.25">
      <c r="B34" s="76" t="s">
        <v>67</v>
      </c>
      <c r="C34" s="77">
        <v>1.1499999999999999</v>
      </c>
      <c r="D34" s="78">
        <v>9.7000000000000003E-2</v>
      </c>
      <c r="E34" s="79">
        <f t="shared" si="4"/>
        <v>1.1540836191541755</v>
      </c>
      <c r="F34" s="77">
        <f t="shared" si="5"/>
        <v>0</v>
      </c>
      <c r="G34" s="78">
        <f t="shared" si="6"/>
        <v>0</v>
      </c>
      <c r="H34" s="79"/>
      <c r="I34" s="80">
        <v>97.864199999999997</v>
      </c>
      <c r="J34" s="81">
        <f t="shared" si="2"/>
        <v>0</v>
      </c>
      <c r="K34" s="82">
        <f t="shared" si="2"/>
        <v>0</v>
      </c>
      <c r="L34" s="83" t="s">
        <v>47</v>
      </c>
      <c r="M34" s="83" t="s">
        <v>47</v>
      </c>
      <c r="N34" s="83" t="s">
        <v>47</v>
      </c>
      <c r="O34" s="83" t="s">
        <v>47</v>
      </c>
      <c r="P34" s="84" t="s">
        <v>47</v>
      </c>
      <c r="Q34" s="85"/>
      <c r="R34" s="86" t="s">
        <v>67</v>
      </c>
      <c r="T34" s="120"/>
      <c r="U34" s="120"/>
      <c r="V34" s="120"/>
      <c r="W34" s="120"/>
      <c r="X34" s="120"/>
      <c r="Y34" s="120"/>
      <c r="Z34" s="120"/>
    </row>
    <row r="35" spans="2:26" x14ac:dyDescent="0.25">
      <c r="B35" s="87"/>
      <c r="J35" s="88"/>
      <c r="K35" s="89"/>
      <c r="L35" s="89"/>
      <c r="M35" s="89"/>
      <c r="N35" s="89"/>
      <c r="O35" s="89"/>
      <c r="P35" s="90"/>
      <c r="R35" s="72"/>
      <c r="T35" s="121"/>
      <c r="U35" s="121"/>
      <c r="V35" s="121"/>
      <c r="W35" s="121"/>
      <c r="X35" s="121"/>
      <c r="Y35" s="121"/>
      <c r="Z35" s="121"/>
    </row>
    <row r="36" spans="2:26" x14ac:dyDescent="0.25">
      <c r="B36" s="91" t="s">
        <v>68</v>
      </c>
      <c r="C36" s="92"/>
      <c r="D36" s="92"/>
      <c r="E36" s="92"/>
      <c r="F36" s="93">
        <f>SUM(F17:F35)</f>
        <v>0</v>
      </c>
      <c r="G36" s="93">
        <f>SUM(G17:G35)</f>
        <v>0</v>
      </c>
      <c r="H36" s="93">
        <f>SQRT(F36^2+G36^2)</f>
        <v>0</v>
      </c>
      <c r="J36" s="50" t="str">
        <f>IF($H$36&lt;=J16,"OK","niet OK")</f>
        <v>OK</v>
      </c>
      <c r="K36" s="24" t="str">
        <f t="shared" ref="K36:P36" si="7">IF($H$36&lt;=K16,"OK","niet OK")</f>
        <v>OK</v>
      </c>
      <c r="L36" s="24" t="str">
        <f t="shared" si="7"/>
        <v>OK</v>
      </c>
      <c r="M36" s="24" t="str">
        <f t="shared" si="7"/>
        <v>OK</v>
      </c>
      <c r="N36" s="24" t="str">
        <f t="shared" si="7"/>
        <v>OK</v>
      </c>
      <c r="O36" s="24" t="str">
        <f t="shared" si="7"/>
        <v>OK</v>
      </c>
      <c r="P36" s="51" t="str">
        <f t="shared" si="7"/>
        <v>OK</v>
      </c>
      <c r="Q36" s="94" t="s">
        <v>69</v>
      </c>
      <c r="R36" s="95"/>
      <c r="T36" s="121"/>
      <c r="U36" s="121"/>
      <c r="V36" s="121"/>
      <c r="W36" s="121"/>
      <c r="X36" s="121"/>
      <c r="Y36" s="121"/>
      <c r="Z36" s="121"/>
    </row>
    <row r="37" spans="2:26" x14ac:dyDescent="0.25">
      <c r="B37" s="87"/>
      <c r="C37" s="96"/>
      <c r="D37" s="96"/>
      <c r="E37" s="65"/>
      <c r="F37" s="65"/>
      <c r="G37" s="65"/>
      <c r="H37" s="65"/>
      <c r="J37" s="50" t="str">
        <f t="shared" ref="J37:N37" si="8">IF(AND(J43="OK",J44="OK",J45="OK",J46="OK",J47="OK",J48="OK",J49="OK",J50="OK",J51="OK",J52="OK",J53="OK",J54="OK",J55="OK",J56="OK",J57="OK",J58="OK",J59="OK"),"OK","niet OK")</f>
        <v>OK</v>
      </c>
      <c r="K37" s="24" t="str">
        <f t="shared" si="8"/>
        <v>OK</v>
      </c>
      <c r="L37" s="24" t="str">
        <f t="shared" si="8"/>
        <v>OK</v>
      </c>
      <c r="M37" s="24" t="str">
        <f t="shared" si="8"/>
        <v>OK</v>
      </c>
      <c r="N37" s="24" t="str">
        <f t="shared" si="8"/>
        <v>OK</v>
      </c>
      <c r="O37" s="24" t="str">
        <f>IF(AND(O43="OK",O44="OK",O45="OK",O46="OK",O47="OK",O48="OK",O49="OK",O50="OK",O51="OK",O52="OK",O53="OK",O54="OK",O55="OK",O56="OK",O57="OK",O58="OK",O59="OK"),"OK","niet OK")</f>
        <v>OK</v>
      </c>
      <c r="P37" s="51" t="str">
        <f t="shared" ref="P37" si="9">IF(AND(P43="OK",P44="OK",P45="OK",P46="OK",P47="OK",P48="OK",P49="OK",P50="OK",P51="OK",P52="OK",P53="OK",P54="OK",P55="OK",P56="OK",P57="OK",P58="OK",P59="OK"),"OK","niet OK")</f>
        <v>OK</v>
      </c>
      <c r="Q37" s="97" t="s">
        <v>70</v>
      </c>
      <c r="R37" s="98"/>
      <c r="T37" s="121"/>
      <c r="U37" s="121"/>
      <c r="V37" s="121"/>
      <c r="W37" s="121"/>
      <c r="X37" s="121"/>
      <c r="Y37" s="121"/>
      <c r="Z37" s="121"/>
    </row>
    <row r="38" spans="2:26" ht="15.75" thickBot="1" x14ac:dyDescent="0.3">
      <c r="B38" s="99"/>
      <c r="C38" s="100"/>
      <c r="D38" s="100"/>
      <c r="E38" s="100"/>
      <c r="F38" s="100"/>
      <c r="G38" s="100"/>
      <c r="H38" s="100"/>
      <c r="I38" s="100"/>
      <c r="J38" s="101" t="str">
        <f t="shared" ref="J38:P38" si="10">IF(AND(J36="OK",J37="OK"),"JA","NEE")</f>
        <v>JA</v>
      </c>
      <c r="K38" s="102" t="str">
        <f t="shared" si="10"/>
        <v>JA</v>
      </c>
      <c r="L38" s="102" t="str">
        <f t="shared" si="10"/>
        <v>JA</v>
      </c>
      <c r="M38" s="102" t="str">
        <f t="shared" si="10"/>
        <v>JA</v>
      </c>
      <c r="N38" s="102" t="str">
        <f t="shared" si="10"/>
        <v>JA</v>
      </c>
      <c r="O38" s="102" t="str">
        <f t="shared" si="10"/>
        <v>JA</v>
      </c>
      <c r="P38" s="103" t="str">
        <f t="shared" si="10"/>
        <v>JA</v>
      </c>
      <c r="Q38" s="104" t="s">
        <v>71</v>
      </c>
      <c r="R38" s="105"/>
    </row>
    <row r="39" spans="2:26" x14ac:dyDescent="0.25">
      <c r="J39" s="106"/>
      <c r="K39" s="106"/>
      <c r="L39" s="106"/>
      <c r="M39" s="106"/>
      <c r="N39" s="106"/>
      <c r="O39" s="106"/>
      <c r="P39" s="106"/>
      <c r="Q39" s="106"/>
      <c r="R39" s="106"/>
    </row>
    <row r="40" spans="2:26" hidden="1" x14ac:dyDescent="0.25">
      <c r="J40" s="106"/>
      <c r="K40" s="106"/>
      <c r="L40" s="106"/>
      <c r="M40" s="106"/>
      <c r="N40" s="106"/>
      <c r="O40" s="106"/>
      <c r="P40" s="106"/>
      <c r="Q40" s="106"/>
      <c r="R40" s="106"/>
    </row>
    <row r="41" spans="2:26" hidden="1" x14ac:dyDescent="0.25">
      <c r="J41" s="106"/>
      <c r="K41" s="106"/>
      <c r="L41" s="106"/>
      <c r="M41" s="106"/>
      <c r="N41" s="106"/>
      <c r="O41" s="106"/>
      <c r="P41" s="106"/>
      <c r="Q41" s="106"/>
      <c r="R41" s="106"/>
    </row>
    <row r="42" spans="2:26" hidden="1" x14ac:dyDescent="0.25">
      <c r="J42" s="107"/>
      <c r="K42" s="107"/>
      <c r="L42" s="107" t="s">
        <v>72</v>
      </c>
      <c r="M42" s="107"/>
      <c r="N42" s="107"/>
      <c r="O42" s="107"/>
      <c r="P42" s="107"/>
    </row>
    <row r="43" spans="2:26" hidden="1" x14ac:dyDescent="0.25">
      <c r="J43" s="108" t="str">
        <f t="shared" ref="J43:P51" si="11">IF(OR(J17=$Q17,AND($Q17=0,J17="X")),"OK","niet OK")</f>
        <v>OK</v>
      </c>
      <c r="K43" s="108" t="str">
        <f t="shared" si="11"/>
        <v>OK</v>
      </c>
      <c r="L43" s="108" t="str">
        <f t="shared" si="11"/>
        <v>OK</v>
      </c>
      <c r="M43" s="108" t="str">
        <f t="shared" si="11"/>
        <v>OK</v>
      </c>
      <c r="N43" s="108" t="str">
        <f t="shared" si="11"/>
        <v>OK</v>
      </c>
      <c r="O43" s="108" t="str">
        <f t="shared" si="11"/>
        <v>OK</v>
      </c>
      <c r="P43" s="108" t="str">
        <f t="shared" si="11"/>
        <v>OK</v>
      </c>
    </row>
    <row r="44" spans="2:26" hidden="1" x14ac:dyDescent="0.25">
      <c r="J44" s="108" t="str">
        <f t="shared" si="11"/>
        <v>OK</v>
      </c>
      <c r="K44" s="108" t="str">
        <f t="shared" si="11"/>
        <v>OK</v>
      </c>
      <c r="L44" s="108" t="str">
        <f t="shared" si="11"/>
        <v>OK</v>
      </c>
      <c r="M44" s="108" t="str">
        <f t="shared" si="11"/>
        <v>OK</v>
      </c>
      <c r="N44" s="108" t="str">
        <f t="shared" si="11"/>
        <v>OK</v>
      </c>
      <c r="O44" s="108" t="str">
        <f t="shared" si="11"/>
        <v>OK</v>
      </c>
      <c r="P44" s="108" t="str">
        <f t="shared" si="11"/>
        <v>OK</v>
      </c>
    </row>
    <row r="45" spans="2:26" hidden="1" x14ac:dyDescent="0.25">
      <c r="J45" s="108" t="str">
        <f t="shared" si="11"/>
        <v>OK</v>
      </c>
      <c r="K45" s="108" t="str">
        <f t="shared" si="11"/>
        <v>OK</v>
      </c>
      <c r="L45" s="108" t="str">
        <f t="shared" si="11"/>
        <v>OK</v>
      </c>
      <c r="M45" s="108" t="str">
        <f t="shared" si="11"/>
        <v>OK</v>
      </c>
      <c r="N45" s="108" t="str">
        <f t="shared" si="11"/>
        <v>OK</v>
      </c>
      <c r="O45" s="108" t="str">
        <f t="shared" si="11"/>
        <v>OK</v>
      </c>
      <c r="P45" s="108" t="str">
        <f t="shared" si="11"/>
        <v>OK</v>
      </c>
    </row>
    <row r="46" spans="2:26" hidden="1" x14ac:dyDescent="0.25">
      <c r="J46" s="108" t="str">
        <f t="shared" si="11"/>
        <v>OK</v>
      </c>
      <c r="K46" s="108" t="str">
        <f t="shared" si="11"/>
        <v>OK</v>
      </c>
      <c r="L46" s="108" t="str">
        <f t="shared" si="11"/>
        <v>OK</v>
      </c>
      <c r="M46" s="108" t="str">
        <f t="shared" si="11"/>
        <v>OK</v>
      </c>
      <c r="N46" s="108" t="str">
        <f t="shared" si="11"/>
        <v>OK</v>
      </c>
      <c r="O46" s="108" t="str">
        <f t="shared" si="11"/>
        <v>OK</v>
      </c>
      <c r="P46" s="108" t="str">
        <f t="shared" si="11"/>
        <v>OK</v>
      </c>
    </row>
    <row r="47" spans="2:26" hidden="1" x14ac:dyDescent="0.25">
      <c r="J47" s="108" t="str">
        <f t="shared" si="11"/>
        <v>OK</v>
      </c>
      <c r="K47" s="108" t="str">
        <f t="shared" si="11"/>
        <v>OK</v>
      </c>
      <c r="L47" s="108" t="str">
        <f t="shared" si="11"/>
        <v>OK</v>
      </c>
      <c r="M47" s="108" t="str">
        <f t="shared" si="11"/>
        <v>OK</v>
      </c>
      <c r="N47" s="108" t="str">
        <f t="shared" si="11"/>
        <v>OK</v>
      </c>
      <c r="O47" s="108" t="str">
        <f t="shared" si="11"/>
        <v>OK</v>
      </c>
      <c r="P47" s="108" t="str">
        <f t="shared" si="11"/>
        <v>OK</v>
      </c>
    </row>
    <row r="48" spans="2:26" hidden="1" x14ac:dyDescent="0.25">
      <c r="J48" s="108" t="str">
        <f t="shared" si="11"/>
        <v>OK</v>
      </c>
      <c r="K48" s="108" t="str">
        <f t="shared" si="11"/>
        <v>OK</v>
      </c>
      <c r="L48" s="108" t="str">
        <f t="shared" si="11"/>
        <v>OK</v>
      </c>
      <c r="M48" s="108" t="str">
        <f t="shared" si="11"/>
        <v>OK</v>
      </c>
      <c r="N48" s="108" t="str">
        <f t="shared" si="11"/>
        <v>OK</v>
      </c>
      <c r="O48" s="108" t="str">
        <f t="shared" si="11"/>
        <v>OK</v>
      </c>
      <c r="P48" s="108" t="str">
        <f t="shared" si="11"/>
        <v>OK</v>
      </c>
    </row>
    <row r="49" spans="10:16" hidden="1" x14ac:dyDescent="0.25">
      <c r="J49" s="108" t="str">
        <f t="shared" si="11"/>
        <v>OK</v>
      </c>
      <c r="K49" s="108" t="str">
        <f t="shared" si="11"/>
        <v>OK</v>
      </c>
      <c r="L49" s="108" t="str">
        <f t="shared" si="11"/>
        <v>OK</v>
      </c>
      <c r="M49" s="108" t="str">
        <f t="shared" si="11"/>
        <v>OK</v>
      </c>
      <c r="N49" s="108" t="str">
        <f t="shared" si="11"/>
        <v>OK</v>
      </c>
      <c r="O49" s="108" t="str">
        <f t="shared" si="11"/>
        <v>OK</v>
      </c>
      <c r="P49" s="108" t="str">
        <f t="shared" si="11"/>
        <v>OK</v>
      </c>
    </row>
    <row r="50" spans="10:16" hidden="1" x14ac:dyDescent="0.25">
      <c r="J50" s="108" t="str">
        <f t="shared" si="11"/>
        <v>OK</v>
      </c>
      <c r="K50" s="108" t="str">
        <f t="shared" si="11"/>
        <v>OK</v>
      </c>
      <c r="L50" s="108" t="str">
        <f t="shared" si="11"/>
        <v>OK</v>
      </c>
      <c r="M50" s="108" t="str">
        <f t="shared" si="11"/>
        <v>OK</v>
      </c>
      <c r="N50" s="108" t="str">
        <f t="shared" si="11"/>
        <v>OK</v>
      </c>
      <c r="O50" s="108" t="str">
        <f t="shared" si="11"/>
        <v>OK</v>
      </c>
      <c r="P50" s="108" t="str">
        <f t="shared" si="11"/>
        <v>OK</v>
      </c>
    </row>
    <row r="51" spans="10:16" hidden="1" x14ac:dyDescent="0.25">
      <c r="J51" s="108" t="str">
        <f t="shared" si="11"/>
        <v>OK</v>
      </c>
      <c r="K51" s="108" t="str">
        <f t="shared" si="11"/>
        <v>OK</v>
      </c>
      <c r="L51" s="108" t="str">
        <f t="shared" si="11"/>
        <v>OK</v>
      </c>
      <c r="M51" s="108" t="str">
        <f t="shared" si="11"/>
        <v>OK</v>
      </c>
      <c r="N51" s="108" t="str">
        <f t="shared" si="11"/>
        <v>OK</v>
      </c>
      <c r="O51" s="108" t="str">
        <f t="shared" si="11"/>
        <v>OK</v>
      </c>
      <c r="P51" s="108" t="str">
        <f t="shared" si="11"/>
        <v>OK</v>
      </c>
    </row>
    <row r="52" spans="10:16" hidden="1" x14ac:dyDescent="0.25">
      <c r="J52" s="108" t="str">
        <f t="shared" ref="J52:P59" si="12">IF(OR(J27=$Q27,AND($Q27=0,J27="X")),"OK","niet OK")</f>
        <v>OK</v>
      </c>
      <c r="K52" s="108" t="str">
        <f t="shared" si="12"/>
        <v>OK</v>
      </c>
      <c r="L52" s="108" t="str">
        <f t="shared" si="12"/>
        <v>OK</v>
      </c>
      <c r="M52" s="108" t="str">
        <f t="shared" si="12"/>
        <v>OK</v>
      </c>
      <c r="N52" s="108" t="str">
        <f t="shared" si="12"/>
        <v>OK</v>
      </c>
      <c r="O52" s="108" t="str">
        <f t="shared" si="12"/>
        <v>OK</v>
      </c>
      <c r="P52" s="108" t="str">
        <f t="shared" si="12"/>
        <v>OK</v>
      </c>
    </row>
    <row r="53" spans="10:16" hidden="1" x14ac:dyDescent="0.25">
      <c r="J53" s="108" t="str">
        <f t="shared" si="12"/>
        <v>OK</v>
      </c>
      <c r="K53" s="108" t="str">
        <f t="shared" si="12"/>
        <v>OK</v>
      </c>
      <c r="L53" s="108" t="str">
        <f t="shared" si="12"/>
        <v>OK</v>
      </c>
      <c r="M53" s="108" t="str">
        <f t="shared" si="12"/>
        <v>OK</v>
      </c>
      <c r="N53" s="108" t="str">
        <f t="shared" si="12"/>
        <v>OK</v>
      </c>
      <c r="O53" s="108" t="str">
        <f t="shared" si="12"/>
        <v>OK</v>
      </c>
      <c r="P53" s="108" t="str">
        <f t="shared" si="12"/>
        <v>OK</v>
      </c>
    </row>
    <row r="54" spans="10:16" hidden="1" x14ac:dyDescent="0.25">
      <c r="J54" s="108" t="str">
        <f t="shared" si="12"/>
        <v>OK</v>
      </c>
      <c r="K54" s="108" t="str">
        <f t="shared" si="12"/>
        <v>OK</v>
      </c>
      <c r="L54" s="108" t="str">
        <f t="shared" si="12"/>
        <v>OK</v>
      </c>
      <c r="M54" s="108" t="str">
        <f t="shared" si="12"/>
        <v>OK</v>
      </c>
      <c r="N54" s="108" t="str">
        <f t="shared" si="12"/>
        <v>OK</v>
      </c>
      <c r="O54" s="108" t="str">
        <f t="shared" si="12"/>
        <v>OK</v>
      </c>
      <c r="P54" s="108" t="str">
        <f t="shared" si="12"/>
        <v>OK</v>
      </c>
    </row>
    <row r="55" spans="10:16" hidden="1" x14ac:dyDescent="0.25">
      <c r="J55" s="108" t="str">
        <f t="shared" si="12"/>
        <v>OK</v>
      </c>
      <c r="K55" s="108" t="str">
        <f t="shared" si="12"/>
        <v>OK</v>
      </c>
      <c r="L55" s="108" t="str">
        <f t="shared" si="12"/>
        <v>OK</v>
      </c>
      <c r="M55" s="108" t="str">
        <f t="shared" si="12"/>
        <v>OK</v>
      </c>
      <c r="N55" s="108" t="str">
        <f t="shared" si="12"/>
        <v>OK</v>
      </c>
      <c r="O55" s="108" t="str">
        <f t="shared" si="12"/>
        <v>OK</v>
      </c>
      <c r="P55" s="108" t="str">
        <f t="shared" si="12"/>
        <v>OK</v>
      </c>
    </row>
    <row r="56" spans="10:16" hidden="1" x14ac:dyDescent="0.25">
      <c r="J56" s="108" t="str">
        <f t="shared" si="12"/>
        <v>OK</v>
      </c>
      <c r="K56" s="108" t="str">
        <f t="shared" si="12"/>
        <v>OK</v>
      </c>
      <c r="L56" s="108" t="str">
        <f t="shared" si="12"/>
        <v>OK</v>
      </c>
      <c r="M56" s="108" t="str">
        <f t="shared" si="12"/>
        <v>OK</v>
      </c>
      <c r="N56" s="108" t="str">
        <f t="shared" si="12"/>
        <v>OK</v>
      </c>
      <c r="O56" s="108" t="str">
        <f t="shared" si="12"/>
        <v>OK</v>
      </c>
      <c r="P56" s="108" t="str">
        <f t="shared" si="12"/>
        <v>OK</v>
      </c>
    </row>
    <row r="57" spans="10:16" hidden="1" x14ac:dyDescent="0.25">
      <c r="J57" s="108" t="str">
        <f t="shared" si="12"/>
        <v>OK</v>
      </c>
      <c r="K57" s="108" t="str">
        <f t="shared" si="12"/>
        <v>OK</v>
      </c>
      <c r="L57" s="108" t="str">
        <f t="shared" si="12"/>
        <v>OK</v>
      </c>
      <c r="M57" s="108" t="str">
        <f t="shared" si="12"/>
        <v>OK</v>
      </c>
      <c r="N57" s="108" t="str">
        <f t="shared" si="12"/>
        <v>OK</v>
      </c>
      <c r="O57" s="108" t="str">
        <f t="shared" si="12"/>
        <v>OK</v>
      </c>
      <c r="P57" s="108" t="str">
        <f t="shared" si="12"/>
        <v>OK</v>
      </c>
    </row>
    <row r="58" spans="10:16" hidden="1" x14ac:dyDescent="0.25">
      <c r="J58" s="108" t="str">
        <f t="shared" si="12"/>
        <v>OK</v>
      </c>
      <c r="K58" s="108" t="str">
        <f t="shared" si="12"/>
        <v>OK</v>
      </c>
      <c r="L58" s="108" t="str">
        <f t="shared" si="12"/>
        <v>OK</v>
      </c>
      <c r="M58" s="108" t="str">
        <f t="shared" si="12"/>
        <v>OK</v>
      </c>
      <c r="N58" s="108" t="str">
        <f t="shared" si="12"/>
        <v>OK</v>
      </c>
      <c r="O58" s="108" t="str">
        <f t="shared" si="12"/>
        <v>OK</v>
      </c>
      <c r="P58" s="108" t="str">
        <f t="shared" si="12"/>
        <v>OK</v>
      </c>
    </row>
    <row r="59" spans="10:16" hidden="1" x14ac:dyDescent="0.25">
      <c r="J59" s="108" t="str">
        <f t="shared" si="12"/>
        <v>OK</v>
      </c>
      <c r="K59" s="108" t="str">
        <f t="shared" si="12"/>
        <v>OK</v>
      </c>
      <c r="L59" s="108" t="str">
        <f t="shared" si="12"/>
        <v>OK</v>
      </c>
      <c r="M59" s="108" t="str">
        <f t="shared" si="12"/>
        <v>OK</v>
      </c>
      <c r="N59" s="108" t="str">
        <f t="shared" si="12"/>
        <v>OK</v>
      </c>
      <c r="O59" s="108" t="str">
        <f t="shared" si="12"/>
        <v>OK</v>
      </c>
      <c r="P59" s="108" t="str">
        <f t="shared" si="12"/>
        <v>OK</v>
      </c>
    </row>
    <row r="60" spans="10:16" hidden="1" x14ac:dyDescent="0.25"/>
    <row r="61" spans="10:16" hidden="1" x14ac:dyDescent="0.25"/>
  </sheetData>
  <protectedRanges>
    <protectedRange algorithmName="SHA-512" hashValue="FkuOLiiU2mjKZgvwGx8E75bKrmCqIjGITea9lnmTbF8YFwSgwmmO0sguAEuD9q85ceVdVlC+ktHNmpwn2QGGzg==" saltValue="cinkr5+j1hImB5wqxc8bTA==" spinCount="100000" sqref="J17:K34 L17:L24 M17:M23 N17:N21 O17:O20 P17:P19 L27:N31 O27:O30 P27:P29 L33 L32:M32" name="te wijzigen"/>
  </protectedRanges>
  <mergeCells count="2">
    <mergeCell ref="C14:E14"/>
    <mergeCell ref="F14:H14"/>
  </mergeCells>
  <conditionalFormatting sqref="J36:P37">
    <cfRule type="cellIs" dxfId="1" priority="2" operator="equal">
      <formula>"niet OK"</formula>
    </cfRule>
  </conditionalFormatting>
  <conditionalFormatting sqref="J38:P41 Q39:R41">
    <cfRule type="cellIs" dxfId="0" priority="1" operator="equal">
      <formula>"JA"</formula>
    </cfRule>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12791E6A3D5DA43887C2DB260B05564" ma:contentTypeVersion="13" ma:contentTypeDescription="Een nieuw document maken." ma:contentTypeScope="" ma:versionID="5da66646bdb6a1f4c9630684efbb47f2">
  <xsd:schema xmlns:xsd="http://www.w3.org/2001/XMLSchema" xmlns:xs="http://www.w3.org/2001/XMLSchema" xmlns:p="http://schemas.microsoft.com/office/2006/metadata/properties" xmlns:ns2="be2d626e-6961-4186-8118-9b786d0b957a" xmlns:ns3="80a5ce49-ae3b-4e2d-9320-19c5acb9498b" targetNamespace="http://schemas.microsoft.com/office/2006/metadata/properties" ma:root="true" ma:fieldsID="2721dc0d0c55762abd40953bb23d31f4" ns2:_="" ns3:_="">
    <xsd:import namespace="be2d626e-6961-4186-8118-9b786d0b957a"/>
    <xsd:import namespace="80a5ce49-ae3b-4e2d-9320-19c5acb9498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2d626e-6961-4186-8118-9b786d0b95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Afbeeldingtags" ma:readOnly="false" ma:fieldId="{5cf76f15-5ced-4ddc-b409-7134ff3c332f}" ma:taxonomyMulti="true" ma:sspId="2f9f70ec-31a0-406c-bb18-a4191efc3a7e"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descrip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0a5ce49-ae3b-4e2d-9320-19c5acb9498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79b2a27-6803-4966-b5e8-b89612f07fb4}" ma:internalName="TaxCatchAll" ma:showField="CatchAllData" ma:web="80a5ce49-ae3b-4e2d-9320-19c5acb9498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80a5ce49-ae3b-4e2d-9320-19c5acb9498b" xsi:nil="true"/>
    <MediaLengthInSeconds xmlns="be2d626e-6961-4186-8118-9b786d0b957a" xsi:nil="true"/>
    <lcf76f155ced4ddcb4097134ff3c332f xmlns="be2d626e-6961-4186-8118-9b786d0b957a">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4A4460F-C2A1-4CDC-BEA4-662FB6010F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e2d626e-6961-4186-8118-9b786d0b957a"/>
    <ds:schemaRef ds:uri="80a5ce49-ae3b-4e2d-9320-19c5acb949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CD74BE9-5C60-451C-B531-CF3FEAE0996C}">
  <ds:schemaRefs>
    <ds:schemaRef ds:uri="http://purl.org/dc/terms/"/>
    <ds:schemaRef ds:uri="cf8f7e87-1bd1-460d-81d4-79db0fd62695"/>
    <ds:schemaRef ds:uri="http://www.w3.org/XML/1998/namespace"/>
    <ds:schemaRef ds:uri="http://purl.org/dc/elements/1.1/"/>
    <ds:schemaRef ds:uri="http://schemas.microsoft.com/office/infopath/2007/PartnerControls"/>
    <ds:schemaRef ds:uri="http://schemas.microsoft.com/office/2006/metadata/properties"/>
    <ds:schemaRef ds:uri="http://schemas.openxmlformats.org/package/2006/metadata/core-properties"/>
    <ds:schemaRef ds:uri="http://schemas.microsoft.com/office/2006/documentManagement/types"/>
    <ds:schemaRef ds:uri="a740194a-5b9c-4a50-8b4c-42c3e1311036"/>
    <ds:schemaRef ds:uri="324e097d-bb88-4fe7-853d-3bbce479f7c0"/>
    <ds:schemaRef ds:uri="http://purl.org/dc/dcmitype/"/>
    <ds:schemaRef ds:uri="353b01e7-08cf-4254-86a4-1180b764f21f"/>
    <ds:schemaRef ds:uri="200722f6-9d80-4a54-a612-f07b096756fd"/>
    <ds:schemaRef ds:uri="6cf0e183-af96-4717-9772-3b8cdaee7565"/>
    <ds:schemaRef ds:uri="1b3f39db-4a05-46e0-b8e6-4598a85ff6bf"/>
    <ds:schemaRef ds:uri="80a5ce49-ae3b-4e2d-9320-19c5acb9498b"/>
    <ds:schemaRef ds:uri="be2d626e-6961-4186-8118-9b786d0b957a"/>
  </ds:schemaRefs>
</ds:datastoreItem>
</file>

<file path=customXml/itemProps3.xml><?xml version="1.0" encoding="utf-8"?>
<ds:datastoreItem xmlns:ds="http://schemas.openxmlformats.org/officeDocument/2006/customXml" ds:itemID="{BE5AD76E-7AB8-455F-B965-403CB93D8AB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Ontwerpstroom_trafo</vt:lpstr>
      <vt:lpstr>Ontwerpstroom_kabel</vt:lpstr>
      <vt:lpstr>Ontwerpstroom_stijgleiding</vt:lpstr>
      <vt:lpstr>Controle_kabel_evenredig</vt:lpstr>
      <vt:lpstr>Controle_kabel_laatste_helft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Excel bij "Ontwerpen met tabellen"</dc:title>
  <dc:subject/>
  <dc:creator>Hemrica, Ytzen</dc:creator>
  <cp:keywords/>
  <dc:description/>
  <cp:lastModifiedBy>Luka Stuurman | Techbase</cp:lastModifiedBy>
  <cp:revision/>
  <dcterms:created xsi:type="dcterms:W3CDTF">2019-02-20T12:23:12Z</dcterms:created>
  <dcterms:modified xsi:type="dcterms:W3CDTF">2026-08-19T07:36:55Z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0x010100912791E6A3D5DA43887C2DB260B05564</vt:lpwstr>
  </property>
  <property fmtid="{D5CDD505-2E9C-101B-9397-08002B2CF9AE}" pid="3" name="Order">
    <vt:r8>11018800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MediaServiceImageTags">
    <vt:lpwstr/>
  </property>
  <property fmtid="{D5CDD505-2E9C-101B-9397-08002B2CF9AE}" pid="11" name="_dlc_DocIdItemGuid">
    <vt:lpwstr>aa1248bf-4052-48a7-bafb-b4a94635b630</vt:lpwstr>
  </property>
  <property fmtid="{D5CDD505-2E9C-101B-9397-08002B2CF9AE}" pid="12" name="Afdeling">
    <vt:lpwstr>157;#NET- EN CAPACITEITSMGT LS ＆ MS|0fc86f4c-bd43-4b39-9941-c4c4108e5de8</vt:lpwstr>
  </property>
  <property fmtid="{D5CDD505-2E9C-101B-9397-08002B2CF9AE}" pid="13" name="Vertrouwelijkheidsniveau">
    <vt:lpwstr>32;#Intern|1a4597c7-8657-403e-a80d-ba1e21764213</vt:lpwstr>
  </property>
  <property fmtid="{D5CDD505-2E9C-101B-9397-08002B2CF9AE}" pid="14" name="kb14d46e0a7b48a89df21bde0f8c6db8">
    <vt:lpwstr/>
  </property>
  <property fmtid="{D5CDD505-2E9C-101B-9397-08002B2CF9AE}" pid="15" name="LinkenNaarDEN">
    <vt:lpwstr/>
  </property>
  <property fmtid="{D5CDD505-2E9C-101B-9397-08002B2CF9AE}" pid="16" name="Onderwerp">
    <vt:lpwstr>15;#Beleid|a88cb305-449a-4bb7-be3c-0db84378ade0;#43;#Ontwerp en Aanleg Infra|05424648-9258-44f9-b347-71717db44dce;#42;#Ontwerp en Aanleg Aansluitingen|cd4ba11c-e98a-42cc-aa7f-25b9ab100cec</vt:lpwstr>
  </property>
  <property fmtid="{D5CDD505-2E9C-101B-9397-08002B2CF9AE}" pid="17" name="e5d88dfa1e9045b9864e4fb43105ddfb">
    <vt:lpwstr/>
  </property>
  <property fmtid="{D5CDD505-2E9C-101B-9397-08002B2CF9AE}" pid="18" name="Gereedschap-E">
    <vt:lpwstr/>
  </property>
  <property fmtid="{D5CDD505-2E9C-101B-9397-08002B2CF9AE}" pid="19" name="BestaatUit">
    <vt:lpwstr/>
  </property>
  <property fmtid="{D5CDD505-2E9C-101B-9397-08002B2CF9AE}" pid="20" name="Mutatiesoort">
    <vt:lpwstr>84;#Gewijzigd|f3dc61a3-2652-4f68-beea-dfa9c7427ae0</vt:lpwstr>
  </property>
  <property fmtid="{D5CDD505-2E9C-101B-9397-08002B2CF9AE}" pid="21" name="Proces">
    <vt:lpwstr>13;#Beleid|08b631c3-20b0-4a43-9a0c-f16cdfaff7d3</vt:lpwstr>
  </property>
  <property fmtid="{D5CDD505-2E9C-101B-9397-08002B2CF9AE}" pid="22" name="Componentgroep">
    <vt:lpwstr>130;#N.v.t.|f89c0abe-3f2a-4727-9e9b-f7d7e18140ac</vt:lpwstr>
  </property>
  <property fmtid="{D5CDD505-2E9C-101B-9397-08002B2CF9AE}" pid="23" name="Normcommissie">
    <vt:lpwstr/>
  </property>
  <property fmtid="{D5CDD505-2E9C-101B-9397-08002B2CF9AE}" pid="24" name="PublicerenNaar">
    <vt:lpwstr>162;#Gepubliceerd naar Aannemersportaal|a2fff5d2-77bc-4729-9f17-cd3e12ae106e</vt:lpwstr>
  </property>
  <property fmtid="{D5CDD505-2E9C-101B-9397-08002B2CF9AE}" pid="25" name="Discipline">
    <vt:lpwstr>30;#Elektriciteit|d2561944-72c2-413c-9df5-747f3bf7b189</vt:lpwstr>
  </property>
  <property fmtid="{D5CDD505-2E9C-101B-9397-08002B2CF9AE}" pid="26" name="Bestelbaar">
    <vt:bool>false</vt:bool>
  </property>
  <property fmtid="{D5CDD505-2E9C-101B-9397-08002B2CF9AE}" pid="27" name="m2278a6bbcc348c48eb9549eb651ce7a">
    <vt:lpwstr/>
  </property>
  <property fmtid="{D5CDD505-2E9C-101B-9397-08002B2CF9AE}" pid="28" name="Toepassingsgebied">
    <vt:lpwstr/>
  </property>
  <property fmtid="{D5CDD505-2E9C-101B-9397-08002B2CF9AE}" pid="29" name="Gereedschap-G">
    <vt:lpwstr/>
  </property>
  <property fmtid="{D5CDD505-2E9C-101B-9397-08002B2CF9AE}" pid="30" name="Doelgroep">
    <vt:lpwstr>79;#(medewerker) Engineer|679bad81-2a89-4cc9-9696-b4315a73b7d8</vt:lpwstr>
  </property>
  <property fmtid="{D5CDD505-2E9C-101B-9397-08002B2CF9AE}" pid="31" name="SoortBeleidsdocument">
    <vt:lpwstr>146;#N.v.t.|3441fe3e-1fb5-4963-b005-d9241ba1abee</vt:lpwstr>
  </property>
  <property fmtid="{D5CDD505-2E9C-101B-9397-08002B2CF9AE}" pid="32" name="m15cd9860a8c4f948c323496c2c85b0d">
    <vt:lpwstr/>
  </property>
  <property fmtid="{D5CDD505-2E9C-101B-9397-08002B2CF9AE}" pid="33" name="Netvlak0">
    <vt:lpwstr>60;#LS|34f96bd0-44a9-4a06-8ca4-582c5766c200</vt:lpwstr>
  </property>
  <property fmtid="{D5CDD505-2E9C-101B-9397-08002B2CF9AE}" pid="34" name="NENConnectMutaties">
    <vt:lpwstr/>
  </property>
  <property fmtid="{D5CDD505-2E9C-101B-9397-08002B2CF9AE}" pid="35" name="ne9ebb55996e405fa5aeb3490bdcd9cf">
    <vt:lpwstr>LS|34f96bd0-44a9-4a06-8ca4-582c5766c200</vt:lpwstr>
  </property>
  <property fmtid="{D5CDD505-2E9C-101B-9397-08002B2CF9AE}" pid="36" name="Goedkeuringsstatus">
    <vt:lpwstr>Approve</vt:lpwstr>
  </property>
  <property fmtid="{D5CDD505-2E9C-101B-9397-08002B2CF9AE}" pid="37" name="l851e569308c4aaab49b8408160d217f">
    <vt:lpwstr>N.v.t.|3441fe3e-1fb5-4963-b005-d9241ba1abee</vt:lpwstr>
  </property>
  <property fmtid="{D5CDD505-2E9C-101B-9397-08002B2CF9AE}" pid="38" name="AantalDen">
    <vt:lpwstr/>
  </property>
  <property fmtid="{D5CDD505-2E9C-101B-9397-08002B2CF9AE}" pid="39" name="ba5a923f57584846b39267c1f98596ae">
    <vt:lpwstr/>
  </property>
  <property fmtid="{D5CDD505-2E9C-101B-9397-08002B2CF9AE}" pid="40" name="Documentstatus">
    <vt:lpwstr/>
  </property>
  <property fmtid="{D5CDD505-2E9C-101B-9397-08002B2CF9AE}" pid="41" name="Filternaam">
    <vt:lpwstr>Eea-0205.K.xlsx</vt:lpwstr>
  </property>
  <property fmtid="{D5CDD505-2E9C-101B-9397-08002B2CF9AE}" pid="42" name="Nummer">
    <vt:lpwstr/>
  </property>
  <property fmtid="{D5CDD505-2E9C-101B-9397-08002B2CF9AE}" pid="43" name="BeoordelaarNormen">
    <vt:lpwstr/>
  </property>
  <property fmtid="{D5CDD505-2E9C-101B-9397-08002B2CF9AE}" pid="44" name="j74e55614f0b4c229cb45907796095f7">
    <vt:lpwstr/>
  </property>
  <property fmtid="{D5CDD505-2E9C-101B-9397-08002B2CF9AE}" pid="45" name="Documentclassificatie">
    <vt:lpwstr/>
  </property>
</Properties>
</file>