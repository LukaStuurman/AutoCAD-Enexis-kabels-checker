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LukaStuurmanHDBTechb\Downloads\"/>
    </mc:Choice>
  </mc:AlternateContent>
  <xr:revisionPtr revIDLastSave="0" documentId="13_ncr:1_{E906D4FB-2D63-4814-9288-E05F8B203F96}" xr6:coauthVersionLast="47" xr6:coauthVersionMax="47" xr10:uidLastSave="{00000000-0000-0000-0000-000000000000}"/>
  <bookViews>
    <workbookView xWindow="-28920" yWindow="-120" windowWidth="29040" windowHeight="15720" firstSheet="2" activeTab="4" xr2:uid="{B7A881E3-F0DF-446A-A40E-6F4020F62436}"/>
  </bookViews>
  <sheets>
    <sheet name="Versie beheer" sheetId="14" r:id="rId1"/>
    <sheet name="Ontwerpstroom_trafo" sheetId="1" r:id="rId2"/>
    <sheet name="Ontwerpstroom_kabel" sheetId="10" r:id="rId3"/>
    <sheet name="Ontwerpstroom_stijgleiding" sheetId="11" r:id="rId4"/>
    <sheet name="Controle_kabel_evenredig" sheetId="8" r:id="rId5"/>
    <sheet name="Controle_kabel_laatste_helft" sheetId="12" r:id="rId6"/>
    <sheet name="max lengte OVL kabels" sheetId="1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8" l="1"/>
  <c r="P18" i="8"/>
  <c r="P19" i="12"/>
  <c r="P33" i="12"/>
  <c r="J29" i="12"/>
  <c r="K29" i="12"/>
  <c r="L29" i="12"/>
  <c r="M29" i="12"/>
  <c r="N29" i="12"/>
  <c r="O29" i="12"/>
  <c r="P29" i="12"/>
  <c r="J30" i="12"/>
  <c r="K30" i="12"/>
  <c r="L30" i="12"/>
  <c r="M30" i="12"/>
  <c r="N30" i="12"/>
  <c r="O30" i="12"/>
  <c r="P30" i="12"/>
  <c r="J31" i="12"/>
  <c r="K31" i="12"/>
  <c r="L31" i="12"/>
  <c r="M31" i="12"/>
  <c r="N31" i="12"/>
  <c r="O31" i="12"/>
  <c r="P31" i="12"/>
  <c r="J32" i="12"/>
  <c r="K32" i="12"/>
  <c r="L32" i="12"/>
  <c r="M32" i="12"/>
  <c r="N32" i="12"/>
  <c r="O32" i="12"/>
  <c r="P32" i="12"/>
  <c r="J33" i="12"/>
  <c r="K33" i="12"/>
  <c r="L33" i="12"/>
  <c r="M33" i="12"/>
  <c r="N33" i="12"/>
  <c r="O33" i="12"/>
  <c r="J34" i="12"/>
  <c r="K34" i="12"/>
  <c r="L34" i="12"/>
  <c r="M34" i="12"/>
  <c r="N34" i="12"/>
  <c r="O34" i="12"/>
  <c r="P34" i="12"/>
  <c r="J35" i="12"/>
  <c r="K35" i="12"/>
  <c r="L35" i="12"/>
  <c r="M35" i="12"/>
  <c r="N35" i="12"/>
  <c r="O35" i="12"/>
  <c r="P35" i="12"/>
  <c r="J36" i="12"/>
  <c r="K36" i="12"/>
  <c r="L36" i="12"/>
  <c r="M36" i="12"/>
  <c r="N36" i="12"/>
  <c r="O36" i="12"/>
  <c r="P36" i="12"/>
  <c r="K28" i="12"/>
  <c r="L28" i="12"/>
  <c r="M28" i="12"/>
  <c r="N28" i="12"/>
  <c r="O28" i="12"/>
  <c r="P28" i="12"/>
  <c r="J28" i="12"/>
  <c r="J19" i="12"/>
  <c r="K19" i="12"/>
  <c r="L19" i="12"/>
  <c r="M19" i="12"/>
  <c r="N19" i="12"/>
  <c r="O19" i="12"/>
  <c r="J20" i="12"/>
  <c r="K20" i="12"/>
  <c r="L20" i="12"/>
  <c r="M20" i="12"/>
  <c r="N20" i="12"/>
  <c r="O20" i="12"/>
  <c r="P20" i="12"/>
  <c r="J21" i="12"/>
  <c r="K21" i="12"/>
  <c r="L21" i="12"/>
  <c r="M21" i="12"/>
  <c r="N21" i="12"/>
  <c r="O21" i="12"/>
  <c r="P21" i="12"/>
  <c r="J22" i="12"/>
  <c r="K22" i="12"/>
  <c r="L22" i="12"/>
  <c r="M22" i="12"/>
  <c r="N22" i="12"/>
  <c r="O22" i="12"/>
  <c r="P22" i="12"/>
  <c r="J23" i="12"/>
  <c r="K23" i="12"/>
  <c r="L23" i="12"/>
  <c r="M23" i="12"/>
  <c r="N23" i="12"/>
  <c r="O23" i="12"/>
  <c r="P23" i="12"/>
  <c r="J24" i="12"/>
  <c r="K24" i="12"/>
  <c r="L24" i="12"/>
  <c r="M24" i="12"/>
  <c r="N24" i="12"/>
  <c r="O24" i="12"/>
  <c r="P24" i="12"/>
  <c r="J25" i="12"/>
  <c r="K25" i="12"/>
  <c r="L25" i="12"/>
  <c r="M25" i="12"/>
  <c r="N25" i="12"/>
  <c r="O25" i="12"/>
  <c r="P25" i="12"/>
  <c r="J26" i="12"/>
  <c r="K26" i="12"/>
  <c r="L26" i="12"/>
  <c r="M26" i="12"/>
  <c r="N26" i="12"/>
  <c r="O26" i="12"/>
  <c r="P26" i="12"/>
  <c r="K18" i="12"/>
  <c r="L18" i="12"/>
  <c r="M18" i="12"/>
  <c r="N18" i="12"/>
  <c r="O18" i="12"/>
  <c r="P18" i="12"/>
  <c r="J18" i="12"/>
  <c r="J29" i="8"/>
  <c r="K29" i="8"/>
  <c r="L29" i="8"/>
  <c r="M29" i="8"/>
  <c r="N29" i="8"/>
  <c r="O29" i="8"/>
  <c r="P29" i="8"/>
  <c r="J30" i="8"/>
  <c r="K30" i="8"/>
  <c r="L30" i="8"/>
  <c r="M30" i="8"/>
  <c r="N30" i="8"/>
  <c r="O30" i="8"/>
  <c r="P30" i="8"/>
  <c r="J31" i="8"/>
  <c r="K31" i="8"/>
  <c r="L31" i="8"/>
  <c r="M31" i="8"/>
  <c r="N31" i="8"/>
  <c r="O31" i="8"/>
  <c r="P31" i="8"/>
  <c r="J32" i="8"/>
  <c r="K32" i="8"/>
  <c r="L32" i="8"/>
  <c r="M32" i="8"/>
  <c r="N32" i="8"/>
  <c r="O32" i="8"/>
  <c r="P32" i="8"/>
  <c r="J33" i="8"/>
  <c r="K33" i="8"/>
  <c r="L33" i="8"/>
  <c r="M33" i="8"/>
  <c r="N33" i="8"/>
  <c r="O33" i="8"/>
  <c r="P33" i="8"/>
  <c r="J34" i="8"/>
  <c r="K34" i="8"/>
  <c r="L34" i="8"/>
  <c r="M34" i="8"/>
  <c r="N34" i="8"/>
  <c r="O34" i="8"/>
  <c r="P34" i="8"/>
  <c r="J35" i="8"/>
  <c r="K35" i="8"/>
  <c r="L35" i="8"/>
  <c r="M35" i="8"/>
  <c r="N35" i="8"/>
  <c r="O35" i="8"/>
  <c r="P35" i="8"/>
  <c r="J36" i="8"/>
  <c r="K36" i="8"/>
  <c r="L36" i="8"/>
  <c r="M36" i="8"/>
  <c r="N36" i="8"/>
  <c r="O36" i="8"/>
  <c r="P36" i="8"/>
  <c r="K28" i="8"/>
  <c r="L28" i="8"/>
  <c r="M28" i="8"/>
  <c r="N28" i="8"/>
  <c r="O28" i="8"/>
  <c r="P28" i="8"/>
  <c r="J28" i="8"/>
  <c r="J19" i="8"/>
  <c r="K19" i="8"/>
  <c r="L19" i="8"/>
  <c r="M19" i="8"/>
  <c r="N19" i="8"/>
  <c r="O19" i="8"/>
  <c r="J20" i="8"/>
  <c r="K20" i="8"/>
  <c r="L20" i="8"/>
  <c r="M20" i="8"/>
  <c r="N20" i="8"/>
  <c r="O20" i="8"/>
  <c r="P20" i="8"/>
  <c r="J21" i="8"/>
  <c r="K21" i="8"/>
  <c r="L21" i="8"/>
  <c r="M21" i="8"/>
  <c r="N21" i="8"/>
  <c r="O21" i="8"/>
  <c r="P21" i="8"/>
  <c r="J22" i="8"/>
  <c r="K22" i="8"/>
  <c r="L22" i="8"/>
  <c r="M22" i="8"/>
  <c r="N22" i="8"/>
  <c r="O22" i="8"/>
  <c r="P22" i="8"/>
  <c r="J23" i="8"/>
  <c r="K23" i="8"/>
  <c r="L23" i="8"/>
  <c r="M23" i="8"/>
  <c r="N23" i="8"/>
  <c r="O23" i="8"/>
  <c r="P23" i="8"/>
  <c r="J24" i="8"/>
  <c r="K24" i="8"/>
  <c r="L24" i="8"/>
  <c r="M24" i="8"/>
  <c r="N24" i="8"/>
  <c r="O24" i="8"/>
  <c r="P24" i="8"/>
  <c r="J25" i="8"/>
  <c r="K25" i="8"/>
  <c r="L25" i="8"/>
  <c r="M25" i="8"/>
  <c r="N25" i="8"/>
  <c r="O25" i="8"/>
  <c r="P25" i="8"/>
  <c r="J26" i="8"/>
  <c r="K26" i="8"/>
  <c r="L26" i="8"/>
  <c r="M26" i="8"/>
  <c r="N26" i="8"/>
  <c r="O26" i="8"/>
  <c r="P26" i="8"/>
  <c r="K18" i="8"/>
  <c r="L18" i="8"/>
  <c r="M18" i="8"/>
  <c r="N18" i="8"/>
  <c r="O18" i="8"/>
  <c r="J18" i="8"/>
  <c r="G30" i="12"/>
  <c r="F30" i="12"/>
  <c r="F30" i="8"/>
  <c r="G30" i="8"/>
  <c r="D11" i="11" l="1"/>
  <c r="E24" i="10"/>
  <c r="E18" i="10"/>
  <c r="P63" i="12" l="1"/>
  <c r="O63" i="12"/>
  <c r="N63" i="12"/>
  <c r="M63" i="12"/>
  <c r="L63" i="12"/>
  <c r="P62" i="12"/>
  <c r="O62" i="12"/>
  <c r="N62" i="12"/>
  <c r="K62" i="12"/>
  <c r="P61" i="12"/>
  <c r="O61" i="12"/>
  <c r="N61" i="12"/>
  <c r="J61" i="12"/>
  <c r="P60" i="12"/>
  <c r="P59" i="12"/>
  <c r="L59" i="12"/>
  <c r="O58" i="12"/>
  <c r="K58" i="12"/>
  <c r="M56" i="12"/>
  <c r="P55" i="12"/>
  <c r="O55" i="12"/>
  <c r="N55" i="12"/>
  <c r="M55" i="12"/>
  <c r="L55" i="12"/>
  <c r="P54" i="12"/>
  <c r="O54" i="12"/>
  <c r="N54" i="12"/>
  <c r="M54" i="12"/>
  <c r="P53" i="12"/>
  <c r="O53" i="12"/>
  <c r="N53" i="12"/>
  <c r="P52" i="12"/>
  <c r="O52" i="12"/>
  <c r="N52" i="12"/>
  <c r="P51" i="12"/>
  <c r="O51" i="12"/>
  <c r="L51" i="12"/>
  <c r="P50" i="12"/>
  <c r="N49" i="12"/>
  <c r="J49" i="12"/>
  <c r="K63" i="12"/>
  <c r="J63" i="12"/>
  <c r="G36" i="12"/>
  <c r="F36" i="12"/>
  <c r="E36" i="12"/>
  <c r="M62" i="12"/>
  <c r="L62" i="12"/>
  <c r="J62" i="12"/>
  <c r="G35" i="12"/>
  <c r="F35" i="12"/>
  <c r="E35" i="12"/>
  <c r="M61" i="12"/>
  <c r="L61" i="12"/>
  <c r="K61" i="12"/>
  <c r="G34" i="12"/>
  <c r="F34" i="12"/>
  <c r="E34" i="12"/>
  <c r="O60" i="12"/>
  <c r="N60" i="12"/>
  <c r="M60" i="12"/>
  <c r="L60" i="12"/>
  <c r="K60" i="12"/>
  <c r="J60" i="12"/>
  <c r="G33" i="12"/>
  <c r="F33" i="12"/>
  <c r="E33" i="12"/>
  <c r="O59" i="12"/>
  <c r="N59" i="12"/>
  <c r="M59" i="12"/>
  <c r="K59" i="12"/>
  <c r="J59" i="12"/>
  <c r="G32" i="12"/>
  <c r="F32" i="12"/>
  <c r="E32" i="12"/>
  <c r="P58" i="12"/>
  <c r="N58" i="12"/>
  <c r="M58" i="12"/>
  <c r="L58" i="12"/>
  <c r="J58" i="12"/>
  <c r="G31" i="12"/>
  <c r="F31" i="12"/>
  <c r="E31" i="12"/>
  <c r="P57" i="12"/>
  <c r="O57" i="12"/>
  <c r="N57" i="12"/>
  <c r="M57" i="12"/>
  <c r="L57" i="12"/>
  <c r="K57" i="12"/>
  <c r="J57" i="12"/>
  <c r="G29" i="12"/>
  <c r="F29" i="12"/>
  <c r="E29" i="12"/>
  <c r="P56" i="12"/>
  <c r="O56" i="12"/>
  <c r="N56" i="12"/>
  <c r="L56" i="12"/>
  <c r="K56" i="12"/>
  <c r="J56" i="12"/>
  <c r="G28" i="12"/>
  <c r="F28" i="12"/>
  <c r="E28" i="12"/>
  <c r="K55" i="12"/>
  <c r="J55" i="12"/>
  <c r="G26" i="12"/>
  <c r="F26" i="12"/>
  <c r="E26" i="12"/>
  <c r="L54" i="12"/>
  <c r="K54" i="12"/>
  <c r="J54" i="12"/>
  <c r="G25" i="12"/>
  <c r="F25" i="12"/>
  <c r="E25" i="12"/>
  <c r="M53" i="12"/>
  <c r="L53" i="12"/>
  <c r="K53" i="12"/>
  <c r="J53" i="12"/>
  <c r="G24" i="12"/>
  <c r="F24" i="12"/>
  <c r="E24" i="12"/>
  <c r="M52" i="12"/>
  <c r="L52" i="12"/>
  <c r="K52" i="12"/>
  <c r="J52" i="12"/>
  <c r="G23" i="12"/>
  <c r="F23" i="12"/>
  <c r="E23" i="12"/>
  <c r="N51" i="12"/>
  <c r="M51" i="12"/>
  <c r="K51" i="12"/>
  <c r="J51" i="12"/>
  <c r="F22" i="12"/>
  <c r="D22" i="12"/>
  <c r="G22" i="12" s="1"/>
  <c r="O50" i="12"/>
  <c r="N50" i="12"/>
  <c r="M50" i="12"/>
  <c r="L50" i="12"/>
  <c r="K50" i="12"/>
  <c r="J50" i="12"/>
  <c r="G21" i="12"/>
  <c r="F21" i="12"/>
  <c r="E21" i="12"/>
  <c r="P49" i="12"/>
  <c r="O49" i="12"/>
  <c r="M49" i="12"/>
  <c r="L49" i="12"/>
  <c r="K49" i="12"/>
  <c r="G20" i="12"/>
  <c r="F20" i="12"/>
  <c r="E20" i="12"/>
  <c r="P48" i="12"/>
  <c r="O48" i="12"/>
  <c r="N48" i="12"/>
  <c r="M48" i="12"/>
  <c r="L48" i="12"/>
  <c r="K48" i="12"/>
  <c r="J48" i="12"/>
  <c r="G19" i="12"/>
  <c r="F19" i="12"/>
  <c r="E19" i="12"/>
  <c r="P47" i="12"/>
  <c r="O47" i="12"/>
  <c r="N47" i="12"/>
  <c r="M47" i="12"/>
  <c r="L47" i="12"/>
  <c r="K47" i="12"/>
  <c r="J47" i="12"/>
  <c r="G18" i="12"/>
  <c r="F18" i="12"/>
  <c r="E18" i="12"/>
  <c r="M54" i="8"/>
  <c r="L55" i="8"/>
  <c r="M55" i="8"/>
  <c r="M63" i="8"/>
  <c r="P63" i="8"/>
  <c r="O63" i="8"/>
  <c r="N63" i="8"/>
  <c r="P62" i="8"/>
  <c r="O62" i="8"/>
  <c r="N62" i="8"/>
  <c r="P61" i="8"/>
  <c r="O61" i="8"/>
  <c r="P60" i="8"/>
  <c r="P59" i="8"/>
  <c r="P55" i="8"/>
  <c r="O55" i="8"/>
  <c r="N55" i="8"/>
  <c r="P54" i="8"/>
  <c r="O54" i="8"/>
  <c r="N54" i="8"/>
  <c r="P53" i="8"/>
  <c r="O53" i="8"/>
  <c r="N53" i="8"/>
  <c r="P52" i="8"/>
  <c r="O52" i="8"/>
  <c r="N52" i="8"/>
  <c r="P51" i="8"/>
  <c r="O51" i="8"/>
  <c r="P50" i="8"/>
  <c r="E22" i="12" l="1"/>
  <c r="G38" i="12"/>
  <c r="J40" i="12"/>
  <c r="F38" i="12"/>
  <c r="N40" i="12"/>
  <c r="K40" i="12"/>
  <c r="M40" i="12"/>
  <c r="L40" i="12"/>
  <c r="P40" i="12"/>
  <c r="O40" i="12"/>
  <c r="O60" i="8"/>
  <c r="N61" i="8"/>
  <c r="M62" i="8"/>
  <c r="L63" i="8"/>
  <c r="H38" i="12" l="1"/>
  <c r="J38" i="12" s="1"/>
  <c r="J41" i="12" s="1"/>
  <c r="E35" i="10"/>
  <c r="F35" i="10"/>
  <c r="G35" i="10"/>
  <c r="H35" i="10"/>
  <c r="E35" i="1"/>
  <c r="F35" i="1"/>
  <c r="G35" i="1"/>
  <c r="H35" i="1"/>
  <c r="G42" i="10"/>
  <c r="G43" i="10"/>
  <c r="G41" i="10"/>
  <c r="E42" i="10"/>
  <c r="E43" i="10"/>
  <c r="E41" i="10"/>
  <c r="E38" i="10"/>
  <c r="G42" i="1"/>
  <c r="G43" i="1"/>
  <c r="G41" i="1"/>
  <c r="E42" i="1"/>
  <c r="E43" i="1"/>
  <c r="E41" i="1"/>
  <c r="E14" i="11"/>
  <c r="D14" i="11"/>
  <c r="H27" i="10"/>
  <c r="G27" i="10"/>
  <c r="F27" i="10"/>
  <c r="E27" i="10"/>
  <c r="H27" i="1"/>
  <c r="G27" i="1"/>
  <c r="F27" i="1"/>
  <c r="E27" i="1"/>
  <c r="E24" i="1"/>
  <c r="E18" i="1"/>
  <c r="D15" i="11"/>
  <c r="E15" i="11"/>
  <c r="D16" i="11"/>
  <c r="E16" i="11"/>
  <c r="E33" i="10"/>
  <c r="F33" i="10"/>
  <c r="G33" i="10"/>
  <c r="H33" i="10"/>
  <c r="E28" i="10"/>
  <c r="F28" i="10"/>
  <c r="G28" i="10"/>
  <c r="H28" i="10"/>
  <c r="E29" i="10"/>
  <c r="F29" i="10"/>
  <c r="G29" i="10"/>
  <c r="H29" i="10"/>
  <c r="E33" i="1"/>
  <c r="F33" i="1"/>
  <c r="G33" i="1"/>
  <c r="H33" i="1"/>
  <c r="E34" i="1"/>
  <c r="F34" i="1"/>
  <c r="G34" i="1"/>
  <c r="H34" i="1"/>
  <c r="E28" i="1"/>
  <c r="F28" i="1"/>
  <c r="G28" i="1"/>
  <c r="H28" i="1"/>
  <c r="E29" i="1"/>
  <c r="F29" i="1"/>
  <c r="G29" i="1"/>
  <c r="H29" i="1"/>
  <c r="D5" i="11"/>
  <c r="E17" i="11"/>
  <c r="D17" i="11"/>
  <c r="E8" i="11"/>
  <c r="D8" i="11"/>
  <c r="E5" i="11"/>
  <c r="G5" i="10"/>
  <c r="H5" i="10"/>
  <c r="G6" i="10"/>
  <c r="H6" i="10"/>
  <c r="G7" i="10"/>
  <c r="H7" i="10"/>
  <c r="G8" i="10"/>
  <c r="H8" i="10"/>
  <c r="G11" i="10"/>
  <c r="H11" i="10"/>
  <c r="G12" i="10"/>
  <c r="H12" i="10"/>
  <c r="G13" i="10"/>
  <c r="H13" i="10"/>
  <c r="G14" i="10"/>
  <c r="H14" i="10"/>
  <c r="G17" i="10"/>
  <c r="G21" i="10"/>
  <c r="G30" i="10"/>
  <c r="H30" i="10"/>
  <c r="G34" i="10"/>
  <c r="H34" i="10"/>
  <c r="G38" i="10"/>
  <c r="F34" i="10"/>
  <c r="E34" i="10"/>
  <c r="F30" i="10"/>
  <c r="E30" i="10"/>
  <c r="E21" i="10"/>
  <c r="E17" i="10"/>
  <c r="F14" i="10"/>
  <c r="E14" i="10"/>
  <c r="F13" i="10"/>
  <c r="E13" i="10"/>
  <c r="F12" i="10"/>
  <c r="E12" i="10"/>
  <c r="F11" i="10"/>
  <c r="E11" i="10"/>
  <c r="F8" i="10"/>
  <c r="E8" i="10"/>
  <c r="F7" i="10"/>
  <c r="E7" i="10"/>
  <c r="F6" i="10"/>
  <c r="E6" i="10"/>
  <c r="F5" i="10"/>
  <c r="E5" i="10"/>
  <c r="E38" i="1"/>
  <c r="E21" i="1"/>
  <c r="E17" i="1"/>
  <c r="F30" i="1"/>
  <c r="E30" i="1"/>
  <c r="F14" i="1"/>
  <c r="E14" i="1"/>
  <c r="F13" i="1"/>
  <c r="E13" i="1"/>
  <c r="F12" i="1"/>
  <c r="E12" i="1"/>
  <c r="F11" i="1"/>
  <c r="E11" i="1"/>
  <c r="E6" i="1"/>
  <c r="F6" i="1"/>
  <c r="E7" i="1"/>
  <c r="F7" i="1"/>
  <c r="E8" i="1"/>
  <c r="F8" i="1"/>
  <c r="F5" i="1"/>
  <c r="E5" i="1"/>
  <c r="G38" i="1"/>
  <c r="H30" i="1"/>
  <c r="H14" i="1"/>
  <c r="H13" i="1"/>
  <c r="H12" i="1"/>
  <c r="H11" i="1"/>
  <c r="H6" i="1"/>
  <c r="H7" i="1"/>
  <c r="H8" i="1"/>
  <c r="H5" i="1"/>
  <c r="G30" i="1"/>
  <c r="G21" i="1"/>
  <c r="G17" i="1"/>
  <c r="G12" i="1"/>
  <c r="G13" i="1"/>
  <c r="G14" i="1"/>
  <c r="G11" i="1"/>
  <c r="G6" i="1"/>
  <c r="G7" i="1"/>
  <c r="G8" i="1"/>
  <c r="G5" i="1"/>
  <c r="K63" i="8"/>
  <c r="J63" i="8"/>
  <c r="G36" i="8"/>
  <c r="F36" i="8"/>
  <c r="E36" i="8"/>
  <c r="L62" i="8"/>
  <c r="K62" i="8"/>
  <c r="J62" i="8"/>
  <c r="G35" i="8"/>
  <c r="F35" i="8"/>
  <c r="E35" i="8"/>
  <c r="M61" i="8"/>
  <c r="L61" i="8"/>
  <c r="K61" i="8"/>
  <c r="J61" i="8"/>
  <c r="G34" i="8"/>
  <c r="F34" i="8"/>
  <c r="E34" i="8"/>
  <c r="N60" i="8"/>
  <c r="M60" i="8"/>
  <c r="L60" i="8"/>
  <c r="K60" i="8"/>
  <c r="J60" i="8"/>
  <c r="G33" i="8"/>
  <c r="F33" i="8"/>
  <c r="E33" i="8"/>
  <c r="O59" i="8"/>
  <c r="N59" i="8"/>
  <c r="M59" i="8"/>
  <c r="L59" i="8"/>
  <c r="K59" i="8"/>
  <c r="J59" i="8"/>
  <c r="G32" i="8"/>
  <c r="F32" i="8"/>
  <c r="E32" i="8"/>
  <c r="P58" i="8"/>
  <c r="O58" i="8"/>
  <c r="N58" i="8"/>
  <c r="M58" i="8"/>
  <c r="L58" i="8"/>
  <c r="K58" i="8"/>
  <c r="J58" i="8"/>
  <c r="G31" i="8"/>
  <c r="F31" i="8"/>
  <c r="E31" i="8"/>
  <c r="P57" i="8"/>
  <c r="O57" i="8"/>
  <c r="N57" i="8"/>
  <c r="M57" i="8"/>
  <c r="L57" i="8"/>
  <c r="K57" i="8"/>
  <c r="J57" i="8"/>
  <c r="G29" i="8"/>
  <c r="F29" i="8"/>
  <c r="E29" i="8"/>
  <c r="P56" i="8"/>
  <c r="O56" i="8"/>
  <c r="N56" i="8"/>
  <c r="M56" i="8"/>
  <c r="L56" i="8"/>
  <c r="K56" i="8"/>
  <c r="J56" i="8"/>
  <c r="G28" i="8"/>
  <c r="F28" i="8"/>
  <c r="E28" i="8"/>
  <c r="K55" i="8"/>
  <c r="J55" i="8"/>
  <c r="G26" i="8"/>
  <c r="F26" i="8"/>
  <c r="E26" i="8"/>
  <c r="L54" i="8"/>
  <c r="K54" i="8"/>
  <c r="J54" i="8"/>
  <c r="G25" i="8"/>
  <c r="F25" i="8"/>
  <c r="E25" i="8"/>
  <c r="M53" i="8"/>
  <c r="L53" i="8"/>
  <c r="K53" i="8"/>
  <c r="J53" i="8"/>
  <c r="G24" i="8"/>
  <c r="F24" i="8"/>
  <c r="E24" i="8"/>
  <c r="M52" i="8"/>
  <c r="L52" i="8"/>
  <c r="K52" i="8"/>
  <c r="J52" i="8"/>
  <c r="G23" i="8"/>
  <c r="F23" i="8"/>
  <c r="E23" i="8"/>
  <c r="N51" i="8"/>
  <c r="M51" i="8"/>
  <c r="L51" i="8"/>
  <c r="K51" i="8"/>
  <c r="J51" i="8"/>
  <c r="F22" i="8"/>
  <c r="D22" i="8"/>
  <c r="E22" i="8" s="1"/>
  <c r="O50" i="8"/>
  <c r="N50" i="8"/>
  <c r="M50" i="8"/>
  <c r="L50" i="8"/>
  <c r="K50" i="8"/>
  <c r="J50" i="8"/>
  <c r="G21" i="8"/>
  <c r="F21" i="8"/>
  <c r="E21" i="8"/>
  <c r="P49" i="8"/>
  <c r="O49" i="8"/>
  <c r="N49" i="8"/>
  <c r="M49" i="8"/>
  <c r="L49" i="8"/>
  <c r="K49" i="8"/>
  <c r="J49" i="8"/>
  <c r="G20" i="8"/>
  <c r="F20" i="8"/>
  <c r="E20" i="8"/>
  <c r="P48" i="8"/>
  <c r="O48" i="8"/>
  <c r="N48" i="8"/>
  <c r="M48" i="8"/>
  <c r="L48" i="8"/>
  <c r="K48" i="8"/>
  <c r="J48" i="8"/>
  <c r="G19" i="8"/>
  <c r="F19" i="8"/>
  <c r="E19" i="8"/>
  <c r="P47" i="8"/>
  <c r="O47" i="8"/>
  <c r="N47" i="8"/>
  <c r="M47" i="8"/>
  <c r="L47" i="8"/>
  <c r="K47" i="8"/>
  <c r="J47" i="8"/>
  <c r="G18" i="8"/>
  <c r="F18" i="8"/>
  <c r="E18" i="8"/>
  <c r="K38" i="12" l="1"/>
  <c r="K41" i="12" s="1"/>
  <c r="L38" i="12"/>
  <c r="L41" i="12" s="1"/>
  <c r="M39" i="12"/>
  <c r="M42" i="12" s="1"/>
  <c r="M38" i="12"/>
  <c r="M41" i="12" s="1"/>
  <c r="K39" i="12"/>
  <c r="K42" i="12" s="1"/>
  <c r="L39" i="12"/>
  <c r="L42" i="12" s="1"/>
  <c r="O39" i="12"/>
  <c r="O42" i="12" s="1"/>
  <c r="N39" i="12"/>
  <c r="N42" i="12" s="1"/>
  <c r="N38" i="12"/>
  <c r="N41" i="12" s="1"/>
  <c r="O38" i="12"/>
  <c r="O41" i="12" s="1"/>
  <c r="P38" i="12"/>
  <c r="P41" i="12" s="1"/>
  <c r="J39" i="12"/>
  <c r="J42" i="12" s="1"/>
  <c r="P39" i="12"/>
  <c r="P42" i="12" s="1"/>
  <c r="C46" i="1"/>
  <c r="N40" i="8"/>
  <c r="C45" i="10"/>
  <c r="C48" i="1"/>
  <c r="C45" i="1"/>
  <c r="C47" i="1"/>
  <c r="C20" i="11"/>
  <c r="F38" i="8"/>
  <c r="P40" i="8"/>
  <c r="O40" i="8"/>
  <c r="J40" i="8"/>
  <c r="K40" i="8"/>
  <c r="L40" i="8"/>
  <c r="M40" i="8"/>
  <c r="G22" i="8"/>
  <c r="G38" i="8" s="1"/>
  <c r="C49" i="1" l="1"/>
  <c r="H38" i="8"/>
  <c r="P38" i="8" l="1"/>
  <c r="J39" i="8"/>
  <c r="J42" i="8" s="1"/>
  <c r="K38" i="8"/>
  <c r="L38" i="8"/>
  <c r="M38" i="8"/>
  <c r="N38" i="8"/>
  <c r="J38" i="8"/>
  <c r="J41" i="8" s="1"/>
  <c r="O38" i="8"/>
  <c r="K39" i="8"/>
  <c r="K42" i="8" s="1"/>
  <c r="L39" i="8"/>
  <c r="L42" i="8" s="1"/>
  <c r="M39" i="8"/>
  <c r="M42" i="8" s="1"/>
  <c r="N39" i="8"/>
  <c r="N42" i="8" s="1"/>
  <c r="O39" i="8"/>
  <c r="O42" i="8" s="1"/>
  <c r="P39" i="8"/>
  <c r="P42" i="8" s="1"/>
  <c r="L41" i="8" l="1"/>
  <c r="K41" i="8"/>
  <c r="M41" i="8"/>
  <c r="O41" i="8"/>
  <c r="N41" i="8"/>
  <c r="P41" i="8"/>
</calcChain>
</file>

<file path=xl/sharedStrings.xml><?xml version="1.0" encoding="utf-8"?>
<sst xmlns="http://schemas.openxmlformats.org/spreadsheetml/2006/main" count="364" uniqueCount="146">
  <si>
    <t>datum</t>
  </si>
  <si>
    <t>wijziging</t>
  </si>
  <si>
    <t>Versie</t>
  </si>
  <si>
    <t>1e helft 2025</t>
  </si>
  <si>
    <t>alle variabele invoer cellen op nul gezet, gFF zekeringen toegevoegd, werkblad met OVL lengtes toegevoegd</t>
  </si>
  <si>
    <t>1.0</t>
  </si>
  <si>
    <t>de nieuwe tabellen voor toekomstige aansluitwaarden kleinzakelijk en grootzakelijk toegevoegd op werkbladen ontwerpstroom_trafo en _kabel</t>
  </si>
  <si>
    <t>2.0</t>
  </si>
  <si>
    <t>Ontwerpstroom transformator</t>
  </si>
  <si>
    <t>Aantal van eenheid</t>
  </si>
  <si>
    <t>Type wooneenheid</t>
  </si>
  <si>
    <r>
      <t xml:space="preserve">Ontwerpstroom </t>
    </r>
    <r>
      <rPr>
        <b/>
        <u/>
        <sz val="11"/>
        <color theme="1"/>
        <rFont val="Calibri"/>
        <family val="2"/>
        <scheme val="minor"/>
      </rPr>
      <t>verbruik</t>
    </r>
    <r>
      <rPr>
        <b/>
        <sz val="11"/>
        <color theme="1"/>
        <rFont val="Calibri"/>
        <family val="2"/>
        <scheme val="minor"/>
      </rPr>
      <t xml:space="preserve"> per eenheid</t>
    </r>
  </si>
  <si>
    <r>
      <t xml:space="preserve">Ontwerpstroom </t>
    </r>
    <r>
      <rPr>
        <b/>
        <u/>
        <sz val="11"/>
        <color theme="1"/>
        <rFont val="Calibri"/>
        <family val="2"/>
        <scheme val="minor"/>
      </rPr>
      <t>opwek</t>
    </r>
    <r>
      <rPr>
        <b/>
        <sz val="11"/>
        <color theme="1"/>
        <rFont val="Calibri"/>
        <family val="2"/>
        <scheme val="minor"/>
      </rPr>
      <t xml:space="preserve"> per eenheid</t>
    </r>
  </si>
  <si>
    <r>
      <t xml:space="preserve">Totaal </t>
    </r>
    <r>
      <rPr>
        <b/>
        <u/>
        <sz val="11"/>
        <color theme="1"/>
        <rFont val="Calibri"/>
        <family val="2"/>
        <scheme val="minor"/>
      </rPr>
      <t>verbruik</t>
    </r>
    <r>
      <rPr>
        <b/>
        <sz val="11"/>
        <color theme="1"/>
        <rFont val="Calibri"/>
        <family val="2"/>
        <scheme val="minor"/>
      </rPr>
      <t xml:space="preserve"> op trafoniveau in A</t>
    </r>
  </si>
  <si>
    <r>
      <t xml:space="preserve">Totaal </t>
    </r>
    <r>
      <rPr>
        <b/>
        <u/>
        <sz val="11"/>
        <color theme="1"/>
        <rFont val="Calibri"/>
        <family val="2"/>
        <scheme val="minor"/>
      </rPr>
      <t>opwek</t>
    </r>
    <r>
      <rPr>
        <b/>
        <sz val="11"/>
        <color theme="1"/>
        <rFont val="Calibri"/>
        <family val="2"/>
        <scheme val="minor"/>
      </rPr>
      <t xml:space="preserve"> op trafoniveau in A</t>
    </r>
  </si>
  <si>
    <r>
      <t xml:space="preserve">Totaal </t>
    </r>
    <r>
      <rPr>
        <b/>
        <u/>
        <sz val="11"/>
        <color theme="1"/>
        <rFont val="Calibri"/>
        <family val="2"/>
        <scheme val="minor"/>
      </rPr>
      <t>verbruik</t>
    </r>
    <r>
      <rPr>
        <b/>
        <sz val="11"/>
        <color theme="1"/>
        <rFont val="Calibri"/>
        <family val="2"/>
        <scheme val="minor"/>
      </rPr>
      <t xml:space="preserve"> op trafoniveau in kW</t>
    </r>
  </si>
  <si>
    <r>
      <t xml:space="preserve">Totaal </t>
    </r>
    <r>
      <rPr>
        <b/>
        <u/>
        <sz val="11"/>
        <color theme="1"/>
        <rFont val="Calibri"/>
        <family val="2"/>
        <scheme val="minor"/>
      </rPr>
      <t>opwek</t>
    </r>
    <r>
      <rPr>
        <b/>
        <sz val="11"/>
        <color theme="1"/>
        <rFont val="Calibri"/>
        <family val="2"/>
        <scheme val="minor"/>
      </rPr>
      <t xml:space="preserve"> op trafoniveau in kW</t>
    </r>
  </si>
  <si>
    <t>Type 1: Laagbouw huishoudens met een individuele warmtepomp en tapwaterbuffer</t>
  </si>
  <si>
    <t xml:space="preserve">Vul alleen de </t>
  </si>
  <si>
    <t>vlakken in</t>
  </si>
  <si>
    <t>  Vrijstaand</t>
  </si>
  <si>
    <t xml:space="preserve">  Twee onder een kap</t>
  </si>
  <si>
    <t xml:space="preserve">  Rijtjeswoning</t>
  </si>
  <si>
    <t xml:space="preserve">  Onbekend</t>
  </si>
  <si>
    <t>Type 2: Laagbouw huishoudens met stads- of gasverwarming</t>
  </si>
  <si>
    <t>  Twee onder een kap</t>
  </si>
  <si>
    <t>Type 3: Hoogbouw huishoudens met collectieve warmtepomp, stads- of gasverwarming</t>
  </si>
  <si>
    <t xml:space="preserve">  Appartement incl. publiek laden</t>
  </si>
  <si>
    <t xml:space="preserve">  Collectieve warmtepomp - elektrisch vermogen</t>
  </si>
  <si>
    <t>Type 4: Hoogbouw huishoudens met een individuele warmtepomp</t>
  </si>
  <si>
    <t>Type 5: Laag- of hoogbouw met alternatieve verwarmingscomponenten (toeslag)</t>
  </si>
  <si>
    <t xml:space="preserve">  Aantal  * elektrisch vermogen verwarmingscomponent *  gelijktijdigheidsfactor tabel type 5</t>
  </si>
  <si>
    <t>Type 6: Kleinzakelijk (niet-huishoudelijk t/m 3x80A)</t>
  </si>
  <si>
    <t xml:space="preserve">  Toekomstige aansluitwaarde: 3x25A</t>
  </si>
  <si>
    <t xml:space="preserve">  Toekomstige aansluitwaarde: 3x35A t/m 3x40A </t>
  </si>
  <si>
    <t xml:space="preserve">  Toekomstige aansluitwaarde: 3x50A</t>
  </si>
  <si>
    <t xml:space="preserve">  Toekomstige aansluitwaarde: 3x63A t/m 3x80A </t>
  </si>
  <si>
    <t>Toekomstige aansluitwaarden kleinzakelijk en grootverbruik:</t>
  </si>
  <si>
    <t>Type 7: Grootverbruik LS (eigen richting &gt;3x80A)</t>
  </si>
  <si>
    <t xml:space="preserve">  Toekomstige aansluitwaarde: 3x160A</t>
  </si>
  <si>
    <t xml:space="preserve">  Toekomstige aansluitwaarde: 3x250A</t>
  </si>
  <si>
    <t xml:space="preserve">  Toekomstige aansluitwaarde: overig</t>
  </si>
  <si>
    <t>Type 8: Netbewust publiek laden</t>
  </si>
  <si>
    <t xml:space="preserve">  Aansluiting 3x25A</t>
  </si>
  <si>
    <t>Type 9: Straatmeubilair</t>
  </si>
  <si>
    <t xml:space="preserve">  Aansluiting 3x25A </t>
  </si>
  <si>
    <t xml:space="preserve">  Aansluiting 3x40A t/m 3x50A</t>
  </si>
  <si>
    <t xml:space="preserve">  Aansluiting 3x63A t/m 3x80A</t>
  </si>
  <si>
    <r>
      <t xml:space="preserve">Totale benodigde trafo capaciteit voor </t>
    </r>
    <r>
      <rPr>
        <b/>
        <u/>
        <sz val="12"/>
        <color theme="1"/>
        <rFont val="Calibri"/>
        <family val="2"/>
        <scheme val="minor"/>
      </rPr>
      <t>verbruik</t>
    </r>
    <r>
      <rPr>
        <b/>
        <sz val="12"/>
        <color theme="1"/>
        <rFont val="Calibri"/>
        <family val="2"/>
        <scheme val="minor"/>
      </rPr>
      <t xml:space="preserve"> (A)</t>
    </r>
  </si>
  <si>
    <r>
      <t xml:space="preserve">Totale benodigde trafo capaciteit voor </t>
    </r>
    <r>
      <rPr>
        <b/>
        <u/>
        <sz val="12"/>
        <color theme="1"/>
        <rFont val="Calibri"/>
        <family val="2"/>
        <scheme val="minor"/>
      </rPr>
      <t>opwek</t>
    </r>
    <r>
      <rPr>
        <b/>
        <sz val="12"/>
        <color theme="1"/>
        <rFont val="Calibri"/>
        <family val="2"/>
        <scheme val="minor"/>
      </rPr>
      <t xml:space="preserve"> (A)</t>
    </r>
  </si>
  <si>
    <r>
      <t xml:space="preserve">Totale benodigde trafo capaciteit voor </t>
    </r>
    <r>
      <rPr>
        <b/>
        <u/>
        <sz val="12"/>
        <color theme="1"/>
        <rFont val="Calibri"/>
        <family val="2"/>
        <scheme val="minor"/>
      </rPr>
      <t>verbruik</t>
    </r>
    <r>
      <rPr>
        <b/>
        <sz val="12"/>
        <color theme="1"/>
        <rFont val="Calibri"/>
        <family val="2"/>
        <scheme val="minor"/>
      </rPr>
      <t xml:space="preserve"> (kW)</t>
    </r>
  </si>
  <si>
    <r>
      <t xml:space="preserve">Totale benodigde trafo capaciteit voor </t>
    </r>
    <r>
      <rPr>
        <b/>
        <u/>
        <sz val="12"/>
        <color theme="1"/>
        <rFont val="Calibri"/>
        <family val="2"/>
        <scheme val="minor"/>
      </rPr>
      <t>opwek</t>
    </r>
    <r>
      <rPr>
        <b/>
        <sz val="12"/>
        <color theme="1"/>
        <rFont val="Calibri"/>
        <family val="2"/>
        <scheme val="minor"/>
      </rPr>
      <t xml:space="preserve"> (kW)</t>
    </r>
  </si>
  <si>
    <t>Minimaal aantal benodigde netstations met een 630kVA transformator</t>
  </si>
  <si>
    <t>Ontwerpstroom kabel</t>
  </si>
  <si>
    <r>
      <t xml:space="preserve">Totaal </t>
    </r>
    <r>
      <rPr>
        <b/>
        <u/>
        <sz val="11"/>
        <color theme="1"/>
        <rFont val="Calibri"/>
        <family val="2"/>
        <scheme val="minor"/>
      </rPr>
      <t>verbruik</t>
    </r>
    <r>
      <rPr>
        <b/>
        <sz val="11"/>
        <color theme="1"/>
        <rFont val="Calibri"/>
        <family val="2"/>
        <scheme val="minor"/>
      </rPr>
      <t xml:space="preserve"> op kabelniveau in A</t>
    </r>
  </si>
  <si>
    <r>
      <t xml:space="preserve">Totaal </t>
    </r>
    <r>
      <rPr>
        <b/>
        <u/>
        <sz val="11"/>
        <color theme="1"/>
        <rFont val="Calibri"/>
        <family val="2"/>
        <scheme val="minor"/>
      </rPr>
      <t>opwek</t>
    </r>
    <r>
      <rPr>
        <b/>
        <sz val="11"/>
        <color theme="1"/>
        <rFont val="Calibri"/>
        <family val="2"/>
        <scheme val="minor"/>
      </rPr>
      <t xml:space="preserve"> op kabelniveau in A</t>
    </r>
  </si>
  <si>
    <r>
      <t xml:space="preserve">Totaal </t>
    </r>
    <r>
      <rPr>
        <b/>
        <u/>
        <sz val="11"/>
        <color theme="1"/>
        <rFont val="Calibri"/>
        <family val="2"/>
        <scheme val="minor"/>
      </rPr>
      <t>verbruik</t>
    </r>
    <r>
      <rPr>
        <b/>
        <sz val="11"/>
        <color theme="1"/>
        <rFont val="Calibri"/>
        <family val="2"/>
        <scheme val="minor"/>
      </rPr>
      <t xml:space="preserve"> op kabelniveau in kW</t>
    </r>
  </si>
  <si>
    <r>
      <t xml:space="preserve">Totaal </t>
    </r>
    <r>
      <rPr>
        <b/>
        <u/>
        <sz val="11"/>
        <color theme="1"/>
        <rFont val="Calibri"/>
        <family val="2"/>
        <scheme val="minor"/>
      </rPr>
      <t>opwek</t>
    </r>
    <r>
      <rPr>
        <b/>
        <sz val="11"/>
        <color theme="1"/>
        <rFont val="Calibri"/>
        <family val="2"/>
        <scheme val="minor"/>
      </rPr>
      <t xml:space="preserve"> op kabelniveau in kW</t>
    </r>
  </si>
  <si>
    <t>Totale ontwerpstroom op de kabel (A)</t>
  </si>
  <si>
    <t>Ontwerpstroom stijgleiding</t>
  </si>
  <si>
    <t>Ontwerpstroom per eenheid</t>
  </si>
  <si>
    <t>Totaal op kabelniveau in A</t>
  </si>
  <si>
    <t>Totaal op kabelniveau in kW</t>
  </si>
  <si>
    <t xml:space="preserve">  Appartement</t>
  </si>
  <si>
    <t xml:space="preserve">  Toekomstige aansluitwaarde: 3x25A </t>
  </si>
  <si>
    <t>Totale ontwerpstroom op de stijgleiding (A)</t>
  </si>
  <si>
    <t xml:space="preserve">De lengte van de 16Cu stijgleiding is o.b.v. 1% spanningsvariatie (en belasting evenredig verdeeld) beperkt tot de maximale lengtes in onderstaande tabel. </t>
  </si>
  <si>
    <t>Indien de lengte van de stijgleiding uit bovenstaande tabel niet toereikend is dan kan hiervan worden afgeweken door het maken van een GAIA berekening. In deze GAIA berekening moet dan worden aangetoond dat de spanningsvariatie van het hoofdnet en stijgleiding &lt; 5%.</t>
  </si>
  <si>
    <t>Verschillende doorsnedes in dezelfde kabelgroep! Let op: Alleen de gele velden zijn invoervelden !</t>
  </si>
  <si>
    <t>Invoervelden</t>
  </si>
  <si>
    <t xml:space="preserve">evenredig verdeelde belasting over de kabel (50%), gebaseerd op tabellen 6 en 8 uit kader Eea-0205.K </t>
  </si>
  <si>
    <t>er moet wel sprake zijn van zogenaamde kabelverjonging, d.w.z. de zwaardere kabels aan het begin van de kabelgroep en de dunnere kabels op het eind van de kabelgroep.</t>
  </si>
  <si>
    <t>ontwerpstroom</t>
  </si>
  <si>
    <t>t/m 57A</t>
  </si>
  <si>
    <t>t/m 72A</t>
  </si>
  <si>
    <t>t/m 90A</t>
  </si>
  <si>
    <t>t/m 113A</t>
  </si>
  <si>
    <t>t/m 144A</t>
  </si>
  <si>
    <t>t/m 180A</t>
  </si>
  <si>
    <t>t/m 225A</t>
  </si>
  <si>
    <t>smeltveiligheid Inom</t>
  </si>
  <si>
    <t>63A</t>
  </si>
  <si>
    <t>80A</t>
  </si>
  <si>
    <t>100A</t>
  </si>
  <si>
    <t>125A</t>
  </si>
  <si>
    <t>160A</t>
  </si>
  <si>
    <t>200A</t>
  </si>
  <si>
    <t>250A</t>
  </si>
  <si>
    <t>invoer</t>
  </si>
  <si>
    <t>waarden per 1000m</t>
  </si>
  <si>
    <t>waarden o.b.v. kabellengte</t>
  </si>
  <si>
    <t xml:space="preserve">kabellengtes </t>
  </si>
  <si>
    <t>ohm</t>
  </si>
  <si>
    <t>A</t>
  </si>
  <si>
    <t>per doorsnede</t>
  </si>
  <si>
    <t>Name</t>
  </si>
  <si>
    <t>R</t>
  </si>
  <si>
    <t>X</t>
  </si>
  <si>
    <t>Z (berekend)</t>
  </si>
  <si>
    <t>in meters</t>
  </si>
  <si>
    <t>4*240mm2 Al</t>
  </si>
  <si>
    <t>4*150mm2 Al</t>
  </si>
  <si>
    <t>4*120mm2 Al</t>
  </si>
  <si>
    <t>4*95mm2 Al</t>
  </si>
  <si>
    <t>4*70mm2 Al</t>
  </si>
  <si>
    <t>4*50mm2 Al</t>
  </si>
  <si>
    <t>4*35mm2 Al</t>
  </si>
  <si>
    <t>4*25mm2 Al</t>
  </si>
  <si>
    <t>4*16mm2 Al</t>
  </si>
  <si>
    <t>4*185mm2 Cu</t>
  </si>
  <si>
    <t>4*150mm2 Cu</t>
  </si>
  <si>
    <t>4*120mm2 Cu</t>
  </si>
  <si>
    <t>4*95mm2 Cu</t>
  </si>
  <si>
    <t>4*70mm2 Cu</t>
  </si>
  <si>
    <t>4*50mm2 Cu</t>
  </si>
  <si>
    <t>4*35mm2 Cu</t>
  </si>
  <si>
    <t>4*25mm2 Cu</t>
  </si>
  <si>
    <t>4*16mm2 Cu</t>
  </si>
  <si>
    <t>totale samengestelde impedantie</t>
  </si>
  <si>
    <t xml:space="preserve">   t.a.v. totale impedantie passieve trafo en gG</t>
  </si>
  <si>
    <t xml:space="preserve">   t.a.v. totale impedantie regeltrafo en gFF</t>
  </si>
  <si>
    <t xml:space="preserve">   t.a.v. ontwerpstroom</t>
  </si>
  <si>
    <r>
      <t xml:space="preserve">   voldoet aan beide / toegestaan met</t>
    </r>
    <r>
      <rPr>
        <b/>
        <u/>
        <sz val="14"/>
        <color theme="1"/>
        <rFont val="Calibri"/>
        <family val="2"/>
        <scheme val="minor"/>
      </rPr>
      <t xml:space="preserve"> passieve transformator en gG zekeringen?</t>
    </r>
  </si>
  <si>
    <r>
      <t xml:space="preserve">   voldoet aan beide / toegestaan met </t>
    </r>
    <r>
      <rPr>
        <b/>
        <u/>
        <sz val="14"/>
        <color theme="1"/>
        <rFont val="Calibri"/>
        <family val="2"/>
        <scheme val="minor"/>
      </rPr>
      <t>regeltransformator en gFF zekeringen?</t>
    </r>
  </si>
  <si>
    <t>hulptabel</t>
  </si>
  <si>
    <t xml:space="preserve">belasting geconcentreerd op de laatste helft van de kabel (75%), gebaseerd op tabellen 7 en 9 uit kader Eea-0205.K </t>
  </si>
  <si>
    <t>maximale lengte OVL kabels (uitgebreide tabel, max lengtes voor 3-aderige kabels zijn gelijkwaardig aan onderstaande 4-aderige)</t>
  </si>
  <si>
    <t>Kabeltype</t>
  </si>
  <si>
    <t>Zekering gG [A]</t>
  </si>
  <si>
    <t>Max. lengte [m]</t>
  </si>
  <si>
    <t>Rc [Ohn] circuitimpedantie</t>
  </si>
  <si>
    <t>Rf [Ohm] fase-impedantie</t>
  </si>
  <si>
    <t>Uf [V]</t>
  </si>
  <si>
    <t>If [A]</t>
  </si>
  <si>
    <t>t_uit [s]</t>
  </si>
  <si>
    <t>VO-YMvKas 4x10 mm2 Cu</t>
  </si>
  <si>
    <t>4,5 - 5</t>
  </si>
  <si>
    <t>VG-YMvKas 4x16 mm2 Cu</t>
  </si>
  <si>
    <t>VMvK 4x16 mm2 Cu</t>
  </si>
  <si>
    <t>VO-YMvKas 4x6 mm2 Cu</t>
  </si>
  <si>
    <t>VMvK 4x6 mm2 Cu</t>
  </si>
  <si>
    <t>VMvK 4x10 mm2 Cu</t>
  </si>
  <si>
    <t xml:space="preserve">4,5 -5 </t>
  </si>
  <si>
    <t>VMvK 4x2,5 mm2 Cu</t>
  </si>
  <si>
    <t xml:space="preserve">4,5 - 5 </t>
  </si>
  <si>
    <t>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</si>
</sst>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
    <numFmt numFmtId="166" formatCode="_ * #,##0_ ;_ * \-#,##0_ ;_ * &quot;-&quot;??_ ;_ @_ "/>
    <numFmt numFmtId="167" formatCode="_ * #,##0.000_ ;_ * \-#,##0.000_ ;_ * &quot;-&quot;???_ ;_ @_ "/>
  </numFmts>
  <fonts count="19" x14ac:knownFonts="1">
    <font>
      <sz val="11"/>
      <color theme="1"/>
      <name val="Calibri"/>
      <family val="2"/>
      <scheme val="minor"/>
    </font>
    <font>
      <sz val="9"/>
      <color rgb="FF000000"/>
      <name val="Segoe UI"/>
      <family val="2"/>
    </font>
    <font>
      <i/>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theme="1"/>
      <name val="Verdana"/>
      <family val="2"/>
    </font>
    <font>
      <sz val="11"/>
      <color theme="1"/>
      <name val="Calibri"/>
      <family val="2"/>
      <scheme val="minor"/>
    </font>
    <font>
      <b/>
      <sz val="18"/>
      <color theme="1"/>
      <name val="Calibri"/>
      <family val="2"/>
      <scheme val="minor"/>
    </font>
    <font>
      <b/>
      <sz val="16"/>
      <color theme="1"/>
      <name val="Calibri"/>
      <family val="2"/>
      <scheme val="minor"/>
    </font>
    <font>
      <b/>
      <sz val="14"/>
      <color rgb="FFFF0000"/>
      <name val="Calibri"/>
      <family val="2"/>
      <scheme val="minor"/>
    </font>
    <font>
      <b/>
      <sz val="11"/>
      <name val="Calibri"/>
      <family val="2"/>
      <scheme val="minor"/>
    </font>
    <font>
      <b/>
      <u/>
      <sz val="11"/>
      <color theme="1"/>
      <name val="Calibri"/>
      <family val="2"/>
      <scheme val="minor"/>
    </font>
    <font>
      <b/>
      <u/>
      <sz val="12"/>
      <color theme="1"/>
      <name val="Calibri"/>
      <family val="2"/>
      <scheme val="minor"/>
    </font>
    <font>
      <b/>
      <u/>
      <sz val="14"/>
      <color theme="1"/>
      <name val="Calibri"/>
      <family val="2"/>
      <scheme val="minor"/>
    </font>
    <font>
      <sz val="11"/>
      <color rgb="FFFF0000"/>
      <name val="Calibri"/>
      <family val="2"/>
      <scheme val="minor"/>
    </font>
    <font>
      <sz val="11"/>
      <name val="Calibri"/>
      <family val="2"/>
      <scheme val="minor"/>
    </font>
    <font>
      <sz val="9"/>
      <color rgb="FFFF0000"/>
      <name val="Arial"/>
      <family val="2"/>
    </font>
    <font>
      <sz val="11"/>
      <color theme="1"/>
      <name val="Aptos"/>
      <family val="2"/>
      <charset val="1"/>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lightDown"/>
    </fill>
    <fill>
      <patternFill patternType="solid">
        <fgColor theme="0" tint="-0.14999847407452621"/>
        <bgColor indexed="64"/>
      </patternFill>
    </fill>
    <fill>
      <patternFill patternType="solid">
        <fgColor theme="3"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2"/>
        <bgColor indexed="64"/>
      </patternFill>
    </fill>
  </fills>
  <borders count="42">
    <border>
      <left/>
      <right/>
      <top/>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s>
  <cellStyleXfs count="2">
    <xf numFmtId="0" fontId="0" fillId="0" borderId="0"/>
    <xf numFmtId="43" fontId="7"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0" fontId="3" fillId="0" borderId="0" xfId="0" applyFont="1" applyAlignment="1">
      <alignment horizontal="center" vertical="center" wrapText="1"/>
    </xf>
    <xf numFmtId="0" fontId="3" fillId="0" borderId="0" xfId="0" applyFont="1" applyAlignment="1">
      <alignment wrapText="1"/>
    </xf>
    <xf numFmtId="0" fontId="4" fillId="0" borderId="0" xfId="0" applyFont="1" applyAlignment="1">
      <alignment horizontal="right"/>
    </xf>
    <xf numFmtId="1" fontId="3" fillId="0" borderId="0" xfId="0" applyNumberFormat="1" applyFont="1" applyAlignment="1">
      <alignment horizontal="center" vertical="center" wrapText="1"/>
    </xf>
    <xf numFmtId="1" fontId="0" fillId="0" borderId="0" xfId="0" applyNumberFormat="1" applyAlignment="1">
      <alignment horizontal="center" vertical="center"/>
    </xf>
    <xf numFmtId="0" fontId="3" fillId="0" borderId="0" xfId="0" applyFont="1" applyAlignment="1">
      <alignment horizontal="center" vertical="center"/>
    </xf>
    <xf numFmtId="164" fontId="0" fillId="3" borderId="0" xfId="0" applyNumberFormat="1" applyFill="1" applyAlignment="1">
      <alignment horizontal="center" vertical="center"/>
    </xf>
    <xf numFmtId="0" fontId="3" fillId="0" borderId="0" xfId="0" applyFont="1"/>
    <xf numFmtId="0" fontId="0" fillId="4" borderId="0" xfId="0" applyFill="1" applyAlignment="1">
      <alignment horizontal="center" vertical="center"/>
    </xf>
    <xf numFmtId="164" fontId="0" fillId="5" borderId="0" xfId="0" applyNumberFormat="1" applyFill="1" applyAlignment="1">
      <alignment horizontal="center" vertical="center"/>
    </xf>
    <xf numFmtId="1" fontId="3" fillId="2" borderId="0" xfId="0" applyNumberFormat="1" applyFont="1" applyFill="1" applyAlignment="1">
      <alignment horizontal="center" vertical="center"/>
    </xf>
    <xf numFmtId="0" fontId="3" fillId="3" borderId="0" xfId="0" applyFont="1" applyFill="1"/>
    <xf numFmtId="1" fontId="0" fillId="4" borderId="0" xfId="0" applyNumberFormat="1" applyFill="1" applyAlignment="1">
      <alignment horizontal="center" vertical="center"/>
    </xf>
    <xf numFmtId="1" fontId="0" fillId="3" borderId="0" xfId="0" applyNumberFormat="1" applyFill="1" applyAlignment="1">
      <alignment horizontal="center" vertical="center"/>
    </xf>
    <xf numFmtId="0" fontId="6" fillId="0" borderId="0" xfId="0" applyFont="1" applyAlignment="1">
      <alignment vertical="center" wrapText="1"/>
    </xf>
    <xf numFmtId="0" fontId="6" fillId="0" borderId="0" xfId="0" applyFont="1" applyAlignment="1">
      <alignment wrapText="1"/>
    </xf>
    <xf numFmtId="0" fontId="8" fillId="2" borderId="0" xfId="0" applyFont="1" applyFill="1"/>
    <xf numFmtId="0" fontId="0" fillId="2" borderId="0" xfId="0" applyFill="1" applyAlignment="1">
      <alignment horizontal="center"/>
    </xf>
    <xf numFmtId="0" fontId="0" fillId="2" borderId="0" xfId="0" applyFill="1" applyAlignment="1">
      <alignment horizontal="right"/>
    </xf>
    <xf numFmtId="0" fontId="0" fillId="0" borderId="0" xfId="0" applyAlignment="1">
      <alignment horizontal="right"/>
    </xf>
    <xf numFmtId="0" fontId="9" fillId="2" borderId="0" xfId="0" applyFont="1" applyFill="1" applyAlignment="1">
      <alignment horizontal="center"/>
    </xf>
    <xf numFmtId="0" fontId="10" fillId="0" borderId="0" xfId="0" applyFont="1"/>
    <xf numFmtId="0" fontId="0" fillId="0" borderId="0" xfId="0" applyAlignment="1">
      <alignment horizontal="center"/>
    </xf>
    <xf numFmtId="0" fontId="0" fillId="6" borderId="1" xfId="0" applyFill="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2" borderId="5" xfId="0" applyFill="1" applyBorder="1" applyAlignment="1">
      <alignment horizontal="center"/>
    </xf>
    <xf numFmtId="0" fontId="0" fillId="0" borderId="6" xfId="0" applyBorder="1" applyAlignment="1">
      <alignment horizontal="right"/>
    </xf>
    <xf numFmtId="0" fontId="3" fillId="2" borderId="10" xfId="0" applyFont="1" applyFill="1" applyBorder="1" applyAlignment="1">
      <alignment horizontal="center"/>
    </xf>
    <xf numFmtId="0" fontId="0" fillId="0" borderId="11" xfId="0" applyBorder="1" applyAlignment="1">
      <alignment horizontal="right"/>
    </xf>
    <xf numFmtId="0" fontId="0" fillId="0" borderId="7" xfId="0" applyBorder="1"/>
    <xf numFmtId="0" fontId="3"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0" fillId="0" borderId="16" xfId="0" applyBorder="1" applyAlignment="1">
      <alignment horizontal="right"/>
    </xf>
    <xf numFmtId="165" fontId="0" fillId="0" borderId="8" xfId="0" applyNumberFormat="1" applyBorder="1" applyAlignment="1">
      <alignment horizontal="center"/>
    </xf>
    <xf numFmtId="165" fontId="0" fillId="0" borderId="9" xfId="0" applyNumberFormat="1" applyBorder="1" applyAlignment="1">
      <alignment horizontal="center"/>
    </xf>
    <xf numFmtId="0" fontId="0" fillId="0" borderId="11" xfId="0" applyBorder="1"/>
    <xf numFmtId="0" fontId="0" fillId="0" borderId="12" xfId="0" applyBorder="1"/>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5" xfId="0" applyNumberFormat="1" applyBorder="1" applyAlignment="1">
      <alignment horizontal="center"/>
    </xf>
    <xf numFmtId="0" fontId="0" fillId="0" borderId="16" xfId="0" applyBorder="1"/>
    <xf numFmtId="0" fontId="0" fillId="0" borderId="17" xfId="0" applyBorder="1"/>
    <xf numFmtId="0" fontId="0" fillId="7" borderId="17" xfId="0" applyFill="1" applyBorder="1"/>
    <xf numFmtId="0" fontId="0" fillId="7" borderId="11" xfId="0" applyFill="1" applyBorder="1"/>
    <xf numFmtId="0" fontId="0" fillId="6" borderId="11" xfId="0" applyFill="1" applyBorder="1"/>
    <xf numFmtId="0" fontId="0" fillId="0" borderId="20" xfId="0" applyBorder="1"/>
    <xf numFmtId="0" fontId="0" fillId="0" borderId="21" xfId="0" applyBorder="1" applyAlignment="1">
      <alignment horizontal="center"/>
    </xf>
    <xf numFmtId="0" fontId="3" fillId="8" borderId="22" xfId="0" applyFont="1" applyFill="1" applyBorder="1"/>
    <xf numFmtId="0" fontId="3" fillId="0" borderId="0" xfId="0" applyFont="1" applyAlignment="1">
      <alignment horizontal="right"/>
    </xf>
    <xf numFmtId="0" fontId="0" fillId="9" borderId="0" xfId="0" applyFill="1" applyAlignment="1">
      <alignment horizontal="center"/>
    </xf>
    <xf numFmtId="0" fontId="0" fillId="9" borderId="0" xfId="0" applyFill="1" applyAlignment="1">
      <alignment horizontal="right"/>
    </xf>
    <xf numFmtId="0" fontId="5" fillId="0" borderId="0" xfId="0" applyFont="1" applyAlignment="1">
      <alignment horizontal="center"/>
    </xf>
    <xf numFmtId="164" fontId="3" fillId="0" borderId="0" xfId="0" applyNumberFormat="1" applyFont="1" applyAlignment="1">
      <alignment horizontal="center"/>
    </xf>
    <xf numFmtId="164" fontId="3" fillId="2" borderId="0" xfId="0" applyNumberFormat="1" applyFont="1" applyFill="1" applyAlignment="1">
      <alignment horizontal="center" vertical="center"/>
    </xf>
    <xf numFmtId="2"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3" fillId="2" borderId="15" xfId="0" applyFont="1" applyFill="1" applyBorder="1" applyAlignment="1">
      <alignment horizontal="center"/>
    </xf>
    <xf numFmtId="0" fontId="0" fillId="7" borderId="0" xfId="0" applyFill="1" applyAlignment="1">
      <alignment horizontal="left"/>
    </xf>
    <xf numFmtId="0" fontId="0" fillId="6" borderId="0" xfId="0" applyFill="1" applyAlignment="1">
      <alignment horizontal="left"/>
    </xf>
    <xf numFmtId="0" fontId="0" fillId="8" borderId="11" xfId="0" applyFill="1" applyBorder="1"/>
    <xf numFmtId="0" fontId="5" fillId="8" borderId="0" xfId="0" applyFont="1" applyFill="1" applyAlignment="1">
      <alignment horizontal="left"/>
    </xf>
    <xf numFmtId="0" fontId="5" fillId="8" borderId="21" xfId="0" applyFont="1" applyFill="1" applyBorder="1" applyAlignment="1">
      <alignment horizontal="left"/>
    </xf>
    <xf numFmtId="0" fontId="0" fillId="2" borderId="9" xfId="0" applyFill="1" applyBorder="1" applyAlignment="1">
      <alignment horizontal="center"/>
    </xf>
    <xf numFmtId="0" fontId="0" fillId="2" borderId="15" xfId="0" applyFill="1" applyBorder="1" applyAlignment="1">
      <alignment horizontal="center"/>
    </xf>
    <xf numFmtId="0" fontId="3" fillId="0" borderId="23" xfId="0" applyFont="1" applyBorder="1" applyAlignment="1">
      <alignment horizontal="center"/>
    </xf>
    <xf numFmtId="0" fontId="0" fillId="0" borderId="24" xfId="0" applyBorder="1" applyAlignment="1">
      <alignment horizontal="center"/>
    </xf>
    <xf numFmtId="0" fontId="3" fillId="0" borderId="25" xfId="0" applyFont="1" applyBorder="1" applyAlignment="1">
      <alignment horizontal="center"/>
    </xf>
    <xf numFmtId="165" fontId="0" fillId="0" borderId="0" xfId="0" applyNumberFormat="1" applyAlignment="1">
      <alignment horizontal="center"/>
    </xf>
    <xf numFmtId="0" fontId="0" fillId="0" borderId="11" xfId="0" applyBorder="1" applyAlignment="1">
      <alignment horizontal="center"/>
    </xf>
    <xf numFmtId="0" fontId="0" fillId="7" borderId="0" xfId="0" applyFill="1"/>
    <xf numFmtId="165" fontId="0" fillId="7" borderId="0" xfId="0" applyNumberFormat="1" applyFill="1" applyAlignment="1">
      <alignment horizontal="center"/>
    </xf>
    <xf numFmtId="167" fontId="0" fillId="0" borderId="0" xfId="0" applyNumberFormat="1" applyAlignment="1">
      <alignment horizontal="center"/>
    </xf>
    <xf numFmtId="0" fontId="0" fillId="0" borderId="22" xfId="0" applyBorder="1" applyAlignment="1">
      <alignment horizontal="center"/>
    </xf>
    <xf numFmtId="0" fontId="11" fillId="0" borderId="12" xfId="0" applyFont="1" applyBorder="1"/>
    <xf numFmtId="0" fontId="0" fillId="0" borderId="26" xfId="0" applyBorder="1" applyAlignment="1">
      <alignment horizontal="center"/>
    </xf>
    <xf numFmtId="0" fontId="16" fillId="0" borderId="26" xfId="0" applyFont="1" applyBorder="1" applyAlignment="1">
      <alignment horizontal="center"/>
    </xf>
    <xf numFmtId="0" fontId="0" fillId="0" borderId="10" xfId="0" applyBorder="1" applyAlignment="1">
      <alignment horizontal="center"/>
    </xf>
    <xf numFmtId="0" fontId="15" fillId="0" borderId="0" xfId="0" applyFont="1" applyAlignment="1">
      <alignment horizontal="center"/>
    </xf>
    <xf numFmtId="0" fontId="3" fillId="0" borderId="30" xfId="0" applyFont="1" applyBorder="1" applyAlignment="1">
      <alignment horizontal="center"/>
    </xf>
    <xf numFmtId="0" fontId="3" fillId="0" borderId="31" xfId="0" applyFont="1" applyBorder="1" applyAlignment="1">
      <alignment horizontal="center"/>
    </xf>
    <xf numFmtId="0" fontId="3" fillId="0" borderId="32" xfId="0" applyFont="1" applyBorder="1" applyAlignment="1">
      <alignment horizontal="center"/>
    </xf>
    <xf numFmtId="0" fontId="0" fillId="0" borderId="9" xfId="0" applyBorder="1"/>
    <xf numFmtId="0" fontId="0" fillId="0" borderId="33" xfId="0" applyBorder="1" applyAlignment="1">
      <alignment horizontal="center"/>
    </xf>
    <xf numFmtId="0" fontId="0" fillId="0" borderId="34" xfId="0" applyBorder="1" applyAlignment="1">
      <alignment horizontal="center"/>
    </xf>
    <xf numFmtId="0" fontId="16" fillId="0" borderId="34" xfId="0" applyFont="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16" fillId="0" borderId="39" xfId="0" applyFont="1" applyBorder="1" applyAlignment="1">
      <alignment horizontal="center"/>
    </xf>
    <xf numFmtId="0" fontId="0" fillId="0" borderId="40" xfId="0" applyBorder="1" applyAlignment="1">
      <alignment horizontal="center"/>
    </xf>
    <xf numFmtId="1" fontId="0" fillId="0" borderId="8" xfId="0" applyNumberFormat="1" applyBorder="1" applyAlignment="1">
      <alignment horizontal="center"/>
    </xf>
    <xf numFmtId="1" fontId="0" fillId="0" borderId="13" xfId="0" applyNumberFormat="1" applyBorder="1" applyAlignment="1">
      <alignment horizont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0" fillId="0" borderId="9" xfId="0" applyBorder="1" applyAlignment="1">
      <alignment horizontal="center" vertical="center"/>
    </xf>
    <xf numFmtId="166" fontId="0" fillId="0" borderId="41" xfId="1" applyNumberFormat="1" applyFont="1" applyBorder="1" applyAlignment="1">
      <alignment horizontal="center" vertical="center"/>
    </xf>
    <xf numFmtId="166" fontId="0" fillId="0" borderId="18" xfId="1" applyNumberFormat="1" applyFont="1" applyBorder="1" applyAlignment="1">
      <alignment horizontal="center" vertical="center"/>
    </xf>
    <xf numFmtId="166" fontId="0" fillId="0" borderId="19" xfId="1" applyNumberFormat="1" applyFont="1" applyBorder="1" applyAlignment="1">
      <alignment horizontal="center" vertical="center"/>
    </xf>
    <xf numFmtId="166" fontId="0" fillId="0" borderId="8" xfId="1" applyNumberFormat="1" applyFont="1" applyBorder="1" applyAlignment="1">
      <alignment horizontal="center" vertical="center"/>
    </xf>
    <xf numFmtId="166" fontId="0" fillId="0" borderId="0" xfId="1" applyNumberFormat="1" applyFont="1" applyBorder="1" applyAlignment="1">
      <alignment horizontal="center" vertical="center"/>
    </xf>
    <xf numFmtId="166" fontId="0" fillId="0" borderId="9" xfId="1" applyNumberFormat="1" applyFont="1" applyBorder="1" applyAlignment="1">
      <alignment horizontal="center" vertical="center"/>
    </xf>
    <xf numFmtId="166" fontId="0" fillId="0" borderId="0" xfId="1" applyNumberFormat="1" applyFont="1" applyBorder="1" applyAlignment="1" applyProtection="1">
      <alignment horizontal="center" vertical="center"/>
      <protection locked="0"/>
    </xf>
    <xf numFmtId="166" fontId="0" fillId="0" borderId="9" xfId="1" applyNumberFormat="1" applyFont="1" applyBorder="1" applyAlignment="1" applyProtection="1">
      <alignment horizontal="center" vertical="center"/>
      <protection locked="0"/>
    </xf>
    <xf numFmtId="166" fontId="0" fillId="0" borderId="13" xfId="1" applyNumberFormat="1" applyFont="1" applyBorder="1" applyAlignment="1">
      <alignment horizontal="center" vertical="center"/>
    </xf>
    <xf numFmtId="166" fontId="0" fillId="0" borderId="14" xfId="1" applyNumberFormat="1" applyFont="1" applyBorder="1" applyAlignment="1">
      <alignment horizontal="center" vertical="center"/>
    </xf>
    <xf numFmtId="166" fontId="0" fillId="0" borderId="15" xfId="1" applyNumberFormat="1" applyFont="1" applyBorder="1" applyAlignment="1">
      <alignment horizontal="center" vertical="center"/>
    </xf>
    <xf numFmtId="0" fontId="3" fillId="0" borderId="21" xfId="0" applyFont="1" applyBorder="1" applyAlignment="1">
      <alignment horizontal="center" vertical="center"/>
    </xf>
    <xf numFmtId="0" fontId="17" fillId="0" borderId="0" xfId="0" applyFont="1" applyAlignment="1">
      <alignment wrapText="1"/>
    </xf>
    <xf numFmtId="0" fontId="3" fillId="0" borderId="0" xfId="0" applyFont="1"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5" fillId="0" borderId="0" xfId="0" applyFont="1" applyAlignment="1">
      <alignment horizontal="center"/>
    </xf>
    <xf numFmtId="0" fontId="6" fillId="0" borderId="0" xfId="0" applyFont="1" applyAlignment="1">
      <alignment vertical="center"/>
    </xf>
    <xf numFmtId="0" fontId="0" fillId="0" borderId="0" xfId="0"/>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4" fillId="0" borderId="27" xfId="0" applyFont="1"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0" fillId="0" borderId="0" xfId="0" applyBorder="1" applyAlignment="1">
      <alignment horizontal="right"/>
    </xf>
    <xf numFmtId="0" fontId="0" fillId="0" borderId="0" xfId="0" applyBorder="1"/>
  </cellXfs>
  <cellStyles count="2">
    <cellStyle name="Comma" xfId="1" builtinId="3"/>
    <cellStyle name="Normal" xfId="0" builtinId="0"/>
  </cellStyles>
  <dxfs count="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3.emf"/><Relationship Id="rId4"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18587</xdr:colOff>
      <xdr:row>5</xdr:row>
      <xdr:rowOff>11660</xdr:rowOff>
    </xdr:from>
    <xdr:to>
      <xdr:col>17</xdr:col>
      <xdr:colOff>484621</xdr:colOff>
      <xdr:row>25</xdr:row>
      <xdr:rowOff>504</xdr:rowOff>
    </xdr:to>
    <xdr:pic>
      <xdr:nvPicPr>
        <xdr:cNvPr id="3" name="Afbeelding 2">
          <a:extLst>
            <a:ext uri="{FF2B5EF4-FFF2-40B4-BE49-F238E27FC236}">
              <a16:creationId xmlns:a16="http://schemas.microsoft.com/office/drawing/2014/main" id="{8C895EE2-CB73-48EF-A205-6795C36D21F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35130" y="1492117"/>
          <a:ext cx="4176974" cy="3674475"/>
        </a:xfrm>
        <a:prstGeom prst="rect">
          <a:avLst/>
        </a:prstGeom>
        <a:noFill/>
        <a:ln>
          <a:noFill/>
        </a:ln>
      </xdr:spPr>
    </xdr:pic>
    <xdr:clientData/>
  </xdr:twoCellAnchor>
  <xdr:twoCellAnchor editAs="oneCell">
    <xdr:from>
      <xdr:col>9</xdr:col>
      <xdr:colOff>582706</xdr:colOff>
      <xdr:row>30</xdr:row>
      <xdr:rowOff>143436</xdr:rowOff>
    </xdr:from>
    <xdr:to>
      <xdr:col>19</xdr:col>
      <xdr:colOff>285526</xdr:colOff>
      <xdr:row>40</xdr:row>
      <xdr:rowOff>173916</xdr:rowOff>
    </xdr:to>
    <xdr:pic>
      <xdr:nvPicPr>
        <xdr:cNvPr id="2" name="Afbeelding 1">
          <a:extLst>
            <a:ext uri="{FF2B5EF4-FFF2-40B4-BE49-F238E27FC236}">
              <a16:creationId xmlns:a16="http://schemas.microsoft.com/office/drawing/2014/main" id="{C73D0673-A288-0857-85D8-774A78A17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70659" y="6087036"/>
          <a:ext cx="6264985" cy="1823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589722</xdr:colOff>
      <xdr:row>40</xdr:row>
      <xdr:rowOff>112643</xdr:rowOff>
    </xdr:from>
    <xdr:to>
      <xdr:col>19</xdr:col>
      <xdr:colOff>292542</xdr:colOff>
      <xdr:row>51</xdr:row>
      <xdr:rowOff>71893</xdr:rowOff>
    </xdr:to>
    <xdr:pic>
      <xdr:nvPicPr>
        <xdr:cNvPr id="4" name="Afbeelding 3">
          <a:extLst>
            <a:ext uri="{FF2B5EF4-FFF2-40B4-BE49-F238E27FC236}">
              <a16:creationId xmlns:a16="http://schemas.microsoft.com/office/drawing/2014/main" id="{12331C32-48BE-CE20-7370-65644ACB5E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794435" y="8090452"/>
          <a:ext cx="6262646" cy="2079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126999</xdr:colOff>
      <xdr:row>0</xdr:row>
      <xdr:rowOff>126999</xdr:rowOff>
    </xdr:from>
    <xdr:to>
      <xdr:col>17</xdr:col>
      <xdr:colOff>415713</xdr:colOff>
      <xdr:row>2</xdr:row>
      <xdr:rowOff>136524</xdr:rowOff>
    </xdr:to>
    <xdr:pic>
      <xdr:nvPicPr>
        <xdr:cNvPr id="3" name="Afbeelding 2">
          <a:extLst>
            <a:ext uri="{FF2B5EF4-FFF2-40B4-BE49-F238E27FC236}">
              <a16:creationId xmlns:a16="http://schemas.microsoft.com/office/drawing/2014/main" id="{58F1F34B-FE83-490D-BCA6-40CD71EA07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5916" y="126999"/>
          <a:ext cx="5516456" cy="925618"/>
        </a:xfrm>
        <a:prstGeom prst="rect">
          <a:avLst/>
        </a:prstGeom>
        <a:noFill/>
      </xdr:spPr>
    </xdr:pic>
    <xdr:clientData/>
  </xdr:twoCellAnchor>
  <xdr:twoCellAnchor editAs="oneCell">
    <xdr:from>
      <xdr:col>10</xdr:col>
      <xdr:colOff>0</xdr:colOff>
      <xdr:row>31</xdr:row>
      <xdr:rowOff>0</xdr:rowOff>
    </xdr:from>
    <xdr:to>
      <xdr:col>19</xdr:col>
      <xdr:colOff>456206</xdr:colOff>
      <xdr:row>41</xdr:row>
      <xdr:rowOff>56985</xdr:rowOff>
    </xdr:to>
    <xdr:pic>
      <xdr:nvPicPr>
        <xdr:cNvPr id="2" name="Afbeelding 1">
          <a:extLst>
            <a:ext uri="{FF2B5EF4-FFF2-40B4-BE49-F238E27FC236}">
              <a16:creationId xmlns:a16="http://schemas.microsoft.com/office/drawing/2014/main" id="{59F2048A-42A9-4AF7-8F8A-DE17BC20D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03380" y="6225540"/>
          <a:ext cx="6262646" cy="188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7016</xdr:colOff>
      <xdr:row>40</xdr:row>
      <xdr:rowOff>178592</xdr:rowOff>
    </xdr:from>
    <xdr:to>
      <xdr:col>19</xdr:col>
      <xdr:colOff>463222</xdr:colOff>
      <xdr:row>52</xdr:row>
      <xdr:rowOff>48390</xdr:rowOff>
    </xdr:to>
    <xdr:pic>
      <xdr:nvPicPr>
        <xdr:cNvPr id="5" name="Afbeelding 4">
          <a:extLst>
            <a:ext uri="{FF2B5EF4-FFF2-40B4-BE49-F238E27FC236}">
              <a16:creationId xmlns:a16="http://schemas.microsoft.com/office/drawing/2014/main" id="{5E1164DE-FEE0-43ED-9E5B-DBC83AB12F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10396" y="8050052"/>
          <a:ext cx="6262646" cy="2079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366607</xdr:colOff>
      <xdr:row>5</xdr:row>
      <xdr:rowOff>2963</xdr:rowOff>
    </xdr:from>
    <xdr:to>
      <xdr:col>14</xdr:col>
      <xdr:colOff>288555</xdr:colOff>
      <xdr:row>14</xdr:row>
      <xdr:rowOff>132937</xdr:rowOff>
    </xdr:to>
    <xdr:pic>
      <xdr:nvPicPr>
        <xdr:cNvPr id="3" name="Afbeelding 2">
          <a:extLst>
            <a:ext uri="{FF2B5EF4-FFF2-40B4-BE49-F238E27FC236}">
              <a16:creationId xmlns:a16="http://schemas.microsoft.com/office/drawing/2014/main" id="{A1605C47-C828-417B-9954-B0D581B1E673}"/>
            </a:ext>
          </a:extLst>
        </xdr:cNvPr>
        <xdr:cNvPicPr>
          <a:picLocks noChangeAspect="1"/>
        </xdr:cNvPicPr>
      </xdr:nvPicPr>
      <xdr:blipFill>
        <a:blip xmlns:r="http://schemas.openxmlformats.org/officeDocument/2006/relationships" r:embed="rId1"/>
        <a:stretch>
          <a:fillRect/>
        </a:stretch>
      </xdr:blipFill>
      <xdr:spPr>
        <a:xfrm>
          <a:off x="9224857" y="1474046"/>
          <a:ext cx="5160064" cy="1760654"/>
        </a:xfrm>
        <a:prstGeom prst="rect">
          <a:avLst/>
        </a:prstGeom>
      </xdr:spPr>
    </xdr:pic>
    <xdr:clientData/>
  </xdr:twoCellAnchor>
  <xdr:twoCellAnchor editAs="oneCell">
    <xdr:from>
      <xdr:col>6</xdr:col>
      <xdr:colOff>339706</xdr:colOff>
      <xdr:row>18</xdr:row>
      <xdr:rowOff>21665</xdr:rowOff>
    </xdr:from>
    <xdr:to>
      <xdr:col>14</xdr:col>
      <xdr:colOff>284688</xdr:colOff>
      <xdr:row>28</xdr:row>
      <xdr:rowOff>59169</xdr:rowOff>
    </xdr:to>
    <xdr:pic>
      <xdr:nvPicPr>
        <xdr:cNvPr id="4" name="Afbeelding 3">
          <a:extLst>
            <a:ext uri="{FF2B5EF4-FFF2-40B4-BE49-F238E27FC236}">
              <a16:creationId xmlns:a16="http://schemas.microsoft.com/office/drawing/2014/main" id="{8AF804DE-4E2C-49F4-9DE8-F2389B6DC967}"/>
            </a:ext>
          </a:extLst>
        </xdr:cNvPr>
        <xdr:cNvPicPr>
          <a:picLocks noChangeAspect="1"/>
        </xdr:cNvPicPr>
      </xdr:nvPicPr>
      <xdr:blipFill>
        <a:blip xmlns:r="http://schemas.openxmlformats.org/officeDocument/2006/relationships" r:embed="rId2"/>
        <a:stretch>
          <a:fillRect/>
        </a:stretch>
      </xdr:blipFill>
      <xdr:spPr>
        <a:xfrm>
          <a:off x="9197956" y="3291915"/>
          <a:ext cx="5175478" cy="1994363"/>
        </a:xfrm>
        <a:prstGeom prst="rect">
          <a:avLst/>
        </a:prstGeom>
      </xdr:spPr>
    </xdr:pic>
    <xdr:clientData/>
  </xdr:twoCellAnchor>
  <xdr:twoCellAnchor>
    <xdr:from>
      <xdr:col>1</xdr:col>
      <xdr:colOff>480060</xdr:colOff>
      <xdr:row>23</xdr:row>
      <xdr:rowOff>106680</xdr:rowOff>
    </xdr:from>
    <xdr:to>
      <xdr:col>1</xdr:col>
      <xdr:colOff>2682240</xdr:colOff>
      <xdr:row>28</xdr:row>
      <xdr:rowOff>137160</xdr:rowOff>
    </xdr:to>
    <xdr:pic>
      <xdr:nvPicPr>
        <xdr:cNvPr id="6" name="Afbeelding 3">
          <a:extLst>
            <a:ext uri="{FF2B5EF4-FFF2-40B4-BE49-F238E27FC236}">
              <a16:creationId xmlns:a16="http://schemas.microsoft.com/office/drawing/2014/main" id="{A4485752-6421-475A-9169-046427691D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7750" y="4991100"/>
          <a:ext cx="22098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32</xdr:row>
      <xdr:rowOff>0</xdr:rowOff>
    </xdr:from>
    <xdr:to>
      <xdr:col>16</xdr:col>
      <xdr:colOff>446046</xdr:colOff>
      <xdr:row>42</xdr:row>
      <xdr:rowOff>23119</xdr:rowOff>
    </xdr:to>
    <xdr:pic>
      <xdr:nvPicPr>
        <xdr:cNvPr id="5" name="Afbeelding 4">
          <a:extLst>
            <a:ext uri="{FF2B5EF4-FFF2-40B4-BE49-F238E27FC236}">
              <a16:creationId xmlns:a16="http://schemas.microsoft.com/office/drawing/2014/main" id="{76CD2AF8-9201-428B-B46E-B5602A59AC6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65733" y="6891867"/>
          <a:ext cx="6262646" cy="188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7016</xdr:colOff>
      <xdr:row>41</xdr:row>
      <xdr:rowOff>148112</xdr:rowOff>
    </xdr:from>
    <xdr:to>
      <xdr:col>16</xdr:col>
      <xdr:colOff>453062</xdr:colOff>
      <xdr:row>52</xdr:row>
      <xdr:rowOff>178777</xdr:rowOff>
    </xdr:to>
    <xdr:pic>
      <xdr:nvPicPr>
        <xdr:cNvPr id="7" name="Afbeelding 6">
          <a:extLst>
            <a:ext uri="{FF2B5EF4-FFF2-40B4-BE49-F238E27FC236}">
              <a16:creationId xmlns:a16="http://schemas.microsoft.com/office/drawing/2014/main" id="{A4295054-CEF0-42D1-84E8-F95594C88D8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472749" y="8716379"/>
          <a:ext cx="6262646" cy="2079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315686</xdr:colOff>
      <xdr:row>3</xdr:row>
      <xdr:rowOff>65315</xdr:rowOff>
    </xdr:from>
    <xdr:to>
      <xdr:col>15</xdr:col>
      <xdr:colOff>189600</xdr:colOff>
      <xdr:row>10</xdr:row>
      <xdr:rowOff>19416</xdr:rowOff>
    </xdr:to>
    <xdr:pic>
      <xdr:nvPicPr>
        <xdr:cNvPr id="3" name="Afbeelding 2">
          <a:extLst>
            <a:ext uri="{FF2B5EF4-FFF2-40B4-BE49-F238E27FC236}">
              <a16:creationId xmlns:a16="http://schemas.microsoft.com/office/drawing/2014/main" id="{BED1570B-247D-189B-BE03-89E170FC3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8829" y="816429"/>
          <a:ext cx="7200000" cy="1554301"/>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97972</xdr:colOff>
      <xdr:row>3</xdr:row>
      <xdr:rowOff>119742</xdr:rowOff>
    </xdr:from>
    <xdr:to>
      <xdr:col>12</xdr:col>
      <xdr:colOff>339279</xdr:colOff>
      <xdr:row>10</xdr:row>
      <xdr:rowOff>34432</xdr:rowOff>
    </xdr:to>
    <xdr:pic>
      <xdr:nvPicPr>
        <xdr:cNvPr id="5" name="Afbeelding 4">
          <a:extLst>
            <a:ext uri="{FF2B5EF4-FFF2-40B4-BE49-F238E27FC236}">
              <a16:creationId xmlns:a16="http://schemas.microsoft.com/office/drawing/2014/main" id="{9D85DD5A-8B74-1D8D-D648-4E523954F0D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9956"/>
        <a:stretch/>
      </xdr:blipFill>
      <xdr:spPr bwMode="auto">
        <a:xfrm>
          <a:off x="2296886" y="870856"/>
          <a:ext cx="7200000" cy="1507270"/>
        </a:xfrm>
        <a:prstGeom prst="rect">
          <a:avLst/>
        </a:prstGeom>
        <a:noFill/>
      </xdr:spPr>
    </xdr:pic>
    <xdr:clientData/>
  </xdr:twoCellAnchor>
  <xdr:twoCellAnchor editAs="oneCell">
    <xdr:from>
      <xdr:col>13</xdr:col>
      <xdr:colOff>304801</xdr:colOff>
      <xdr:row>3</xdr:row>
      <xdr:rowOff>108856</xdr:rowOff>
    </xdr:from>
    <xdr:to>
      <xdr:col>17</xdr:col>
      <xdr:colOff>72851</xdr:colOff>
      <xdr:row>10</xdr:row>
      <xdr:rowOff>1008</xdr:rowOff>
    </xdr:to>
    <xdr:pic>
      <xdr:nvPicPr>
        <xdr:cNvPr id="6" name="Afbeelding 5">
          <a:extLst>
            <a:ext uri="{FF2B5EF4-FFF2-40B4-BE49-F238E27FC236}">
              <a16:creationId xmlns:a16="http://schemas.microsoft.com/office/drawing/2014/main" id="{07580BB5-FE54-06F2-A60C-9425536E6C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0600" b="1"/>
        <a:stretch/>
      </xdr:blipFill>
      <xdr:spPr bwMode="auto">
        <a:xfrm>
          <a:off x="10352315" y="859970"/>
          <a:ext cx="7200000" cy="1487870"/>
        </a:xfrm>
        <a:prstGeom prst="rect">
          <a:avLst/>
        </a:prstGeom>
        <a:noFill/>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AFE5-945E-48E5-81C5-4131863498F1}">
  <dimension ref="A2:C6"/>
  <sheetViews>
    <sheetView workbookViewId="0">
      <selection activeCell="B37" sqref="B37"/>
    </sheetView>
  </sheetViews>
  <sheetFormatPr defaultRowHeight="15" x14ac:dyDescent="0.25"/>
  <cols>
    <col min="1" max="1" width="13.42578125" customWidth="1"/>
    <col min="2" max="2" width="137.42578125" customWidth="1"/>
    <col min="3" max="3" width="9.140625" style="27"/>
  </cols>
  <sheetData>
    <row r="2" spans="1:3" x14ac:dyDescent="0.25">
      <c r="A2" s="123" t="s">
        <v>0</v>
      </c>
      <c r="B2" s="123" t="s">
        <v>1</v>
      </c>
      <c r="C2" s="123" t="s">
        <v>2</v>
      </c>
    </row>
    <row r="3" spans="1:3" x14ac:dyDescent="0.25">
      <c r="A3" s="125" t="s">
        <v>3</v>
      </c>
      <c r="B3" s="125" t="s">
        <v>4</v>
      </c>
      <c r="C3" s="27" t="s">
        <v>5</v>
      </c>
    </row>
    <row r="4" spans="1:3" x14ac:dyDescent="0.25">
      <c r="A4" s="124">
        <v>45839</v>
      </c>
      <c r="B4" s="125" t="s">
        <v>6</v>
      </c>
      <c r="C4" s="27" t="s">
        <v>7</v>
      </c>
    </row>
    <row r="5" spans="1:3" x14ac:dyDescent="0.25">
      <c r="B5" s="122"/>
    </row>
    <row r="6" spans="1:3" x14ac:dyDescent="0.25">
      <c r="B6" s="1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C5DD-1E0E-481F-927C-EC73CD8A3787}">
  <dimension ref="A1:T50"/>
  <sheetViews>
    <sheetView topLeftCell="A13" zoomScale="85" zoomScaleNormal="85" workbookViewId="0">
      <selection activeCell="B56" sqref="B56"/>
    </sheetView>
  </sheetViews>
  <sheetFormatPr defaultRowHeight="15" x14ac:dyDescent="0.25"/>
  <cols>
    <col min="1" max="1" width="8.28515625" style="9" bestFit="1" customWidth="1"/>
    <col min="2" max="2" width="82.42578125" customWidth="1"/>
    <col min="3" max="3" width="12.28515625" style="3" bestFit="1" customWidth="1"/>
    <col min="4" max="4" width="11.7109375" style="3" bestFit="1" customWidth="1"/>
    <col min="5" max="6" width="11.7109375" style="3" customWidth="1"/>
    <col min="7" max="8" width="10.85546875" style="3" customWidth="1"/>
    <col min="9" max="9" width="3.28515625" customWidth="1"/>
    <col min="11" max="11" width="14.42578125" customWidth="1"/>
    <col min="13" max="13" width="10" customWidth="1"/>
    <col min="20" max="20" width="21.28515625" customWidth="1"/>
  </cols>
  <sheetData>
    <row r="1" spans="1:20" ht="18.75" x14ac:dyDescent="0.3">
      <c r="A1" s="126" t="s">
        <v>8</v>
      </c>
      <c r="B1" s="126"/>
      <c r="C1" s="126"/>
      <c r="D1" s="126"/>
      <c r="E1" s="126"/>
      <c r="F1" s="126"/>
      <c r="G1" s="126"/>
      <c r="H1" s="60"/>
    </row>
    <row r="2" spans="1:20" s="6" customFormat="1" ht="54.6" customHeight="1" x14ac:dyDescent="0.25">
      <c r="A2" s="8" t="s">
        <v>9</v>
      </c>
      <c r="B2" s="5" t="s">
        <v>10</v>
      </c>
      <c r="C2" s="5" t="s">
        <v>11</v>
      </c>
      <c r="D2" s="5" t="s">
        <v>12</v>
      </c>
      <c r="E2" s="8" t="s">
        <v>13</v>
      </c>
      <c r="F2" s="8" t="s">
        <v>14</v>
      </c>
      <c r="G2" s="8" t="s">
        <v>15</v>
      </c>
      <c r="H2" s="8" t="s">
        <v>16</v>
      </c>
    </row>
    <row r="4" spans="1:20" x14ac:dyDescent="0.25">
      <c r="A4" s="17"/>
      <c r="B4" s="2" t="s">
        <v>17</v>
      </c>
      <c r="K4" s="12" t="s">
        <v>18</v>
      </c>
      <c r="L4" s="16"/>
      <c r="M4" s="12" t="s">
        <v>19</v>
      </c>
    </row>
    <row r="5" spans="1:20" x14ac:dyDescent="0.25">
      <c r="A5" s="18"/>
      <c r="B5" t="s">
        <v>20</v>
      </c>
      <c r="C5" s="14">
        <v>9.5</v>
      </c>
      <c r="D5" s="14">
        <v>9.5</v>
      </c>
      <c r="E5" s="14">
        <f>C5*A5</f>
        <v>0</v>
      </c>
      <c r="F5" s="14">
        <f>D5*A5</f>
        <v>0</v>
      </c>
      <c r="G5" s="14">
        <f>C5*0.23*3*A5</f>
        <v>0</v>
      </c>
      <c r="H5" s="14">
        <f>D5*0.23*3*A5</f>
        <v>0</v>
      </c>
      <c r="T5" s="1"/>
    </row>
    <row r="6" spans="1:20" x14ac:dyDescent="0.25">
      <c r="A6" s="18"/>
      <c r="B6" t="s">
        <v>21</v>
      </c>
      <c r="C6" s="14">
        <v>8</v>
      </c>
      <c r="D6" s="14">
        <v>7.3</v>
      </c>
      <c r="E6" s="14">
        <f t="shared" ref="E6:E8" si="0">C6*A6</f>
        <v>0</v>
      </c>
      <c r="F6" s="14">
        <f t="shared" ref="F6:F8" si="1">D6*A6</f>
        <v>0</v>
      </c>
      <c r="G6" s="14">
        <f t="shared" ref="G6:G8" si="2">C6*0.23*3*A6</f>
        <v>0</v>
      </c>
      <c r="H6" s="14">
        <f t="shared" ref="H6:H8" si="3">D6*0.23*3*A6</f>
        <v>0</v>
      </c>
      <c r="T6" s="1"/>
    </row>
    <row r="7" spans="1:20" x14ac:dyDescent="0.25">
      <c r="A7" s="18"/>
      <c r="B7" t="s">
        <v>22</v>
      </c>
      <c r="C7" s="14">
        <v>7</v>
      </c>
      <c r="D7" s="14">
        <v>7.3</v>
      </c>
      <c r="E7" s="14">
        <f t="shared" si="0"/>
        <v>0</v>
      </c>
      <c r="F7" s="14">
        <f t="shared" si="1"/>
        <v>0</v>
      </c>
      <c r="G7" s="14">
        <f t="shared" si="2"/>
        <v>0</v>
      </c>
      <c r="H7" s="14">
        <f t="shared" si="3"/>
        <v>0</v>
      </c>
      <c r="T7" s="1"/>
    </row>
    <row r="8" spans="1:20" x14ac:dyDescent="0.25">
      <c r="A8" s="18"/>
      <c r="B8" t="s">
        <v>23</v>
      </c>
      <c r="C8" s="14">
        <v>7.6</v>
      </c>
      <c r="D8" s="14">
        <v>7.3</v>
      </c>
      <c r="E8" s="14">
        <f t="shared" si="0"/>
        <v>0</v>
      </c>
      <c r="F8" s="14">
        <f t="shared" si="1"/>
        <v>0</v>
      </c>
      <c r="G8" s="14">
        <f t="shared" si="2"/>
        <v>0</v>
      </c>
      <c r="H8" s="14">
        <f t="shared" si="3"/>
        <v>0</v>
      </c>
      <c r="T8" s="1"/>
    </row>
    <row r="9" spans="1:20" x14ac:dyDescent="0.25">
      <c r="A9" s="17"/>
      <c r="C9" s="4"/>
      <c r="D9" s="4"/>
      <c r="E9" s="4"/>
      <c r="F9" s="4"/>
      <c r="G9" s="4"/>
      <c r="H9" s="4"/>
      <c r="T9" s="1"/>
    </row>
    <row r="10" spans="1:20" x14ac:dyDescent="0.25">
      <c r="A10" s="17"/>
      <c r="B10" s="2" t="s">
        <v>24</v>
      </c>
      <c r="C10" s="4"/>
      <c r="D10" s="4"/>
      <c r="E10" s="4"/>
      <c r="F10" s="4"/>
      <c r="G10" s="4"/>
      <c r="H10" s="4"/>
    </row>
    <row r="11" spans="1:20" x14ac:dyDescent="0.25">
      <c r="A11" s="18"/>
      <c r="B11" t="s">
        <v>20</v>
      </c>
      <c r="C11" s="14">
        <v>3.3</v>
      </c>
      <c r="D11" s="14">
        <v>9.5</v>
      </c>
      <c r="E11" s="14">
        <f>C11*A11</f>
        <v>0</v>
      </c>
      <c r="F11" s="14">
        <f>D11*A11</f>
        <v>0</v>
      </c>
      <c r="G11" s="14">
        <f t="shared" ref="G11:G14" si="4">C11*0.23*3*A11</f>
        <v>0</v>
      </c>
      <c r="H11" s="14">
        <f>D11*0.23*3*A11</f>
        <v>0</v>
      </c>
    </row>
    <row r="12" spans="1:20" x14ac:dyDescent="0.25">
      <c r="A12" s="18"/>
      <c r="B12" t="s">
        <v>25</v>
      </c>
      <c r="C12" s="14">
        <v>3.3</v>
      </c>
      <c r="D12" s="14">
        <v>7.3</v>
      </c>
      <c r="E12" s="14">
        <f t="shared" ref="E12:E14" si="5">C12*A12</f>
        <v>0</v>
      </c>
      <c r="F12" s="14">
        <f t="shared" ref="F12:F14" si="6">D12*A12</f>
        <v>0</v>
      </c>
      <c r="G12" s="14">
        <f t="shared" si="4"/>
        <v>0</v>
      </c>
      <c r="H12" s="14">
        <f t="shared" ref="H12:H14" si="7">D12*0.23*3*A12</f>
        <v>0</v>
      </c>
    </row>
    <row r="13" spans="1:20" x14ac:dyDescent="0.25">
      <c r="A13" s="18"/>
      <c r="B13" t="s">
        <v>22</v>
      </c>
      <c r="C13" s="14">
        <v>3.3</v>
      </c>
      <c r="D13" s="14">
        <v>7.3</v>
      </c>
      <c r="E13" s="14">
        <f t="shared" si="5"/>
        <v>0</v>
      </c>
      <c r="F13" s="14">
        <f t="shared" si="6"/>
        <v>0</v>
      </c>
      <c r="G13" s="14">
        <f t="shared" si="4"/>
        <v>0</v>
      </c>
      <c r="H13" s="14">
        <f t="shared" si="7"/>
        <v>0</v>
      </c>
    </row>
    <row r="14" spans="1:20" x14ac:dyDescent="0.25">
      <c r="A14" s="18"/>
      <c r="B14" t="s">
        <v>23</v>
      </c>
      <c r="C14" s="14">
        <v>3.3</v>
      </c>
      <c r="D14" s="14">
        <v>7.3</v>
      </c>
      <c r="E14" s="14">
        <f t="shared" si="5"/>
        <v>0</v>
      </c>
      <c r="F14" s="14">
        <f t="shared" si="6"/>
        <v>0</v>
      </c>
      <c r="G14" s="14">
        <f t="shared" si="4"/>
        <v>0</v>
      </c>
      <c r="H14" s="14">
        <f t="shared" si="7"/>
        <v>0</v>
      </c>
    </row>
    <row r="15" spans="1:20" x14ac:dyDescent="0.25">
      <c r="A15" s="17"/>
      <c r="C15" s="4"/>
      <c r="D15" s="4"/>
      <c r="E15" s="4"/>
      <c r="F15" s="4"/>
      <c r="G15" s="4"/>
      <c r="H15" s="4"/>
    </row>
    <row r="16" spans="1:20" x14ac:dyDescent="0.25">
      <c r="A16" s="17"/>
      <c r="B16" s="2" t="s">
        <v>26</v>
      </c>
      <c r="C16" s="4"/>
      <c r="D16" s="4"/>
      <c r="E16" s="4"/>
      <c r="F16" s="4"/>
      <c r="G16" s="4"/>
      <c r="H16" s="4"/>
    </row>
    <row r="17" spans="1:11" x14ac:dyDescent="0.25">
      <c r="A17" s="18"/>
      <c r="B17" t="s">
        <v>27</v>
      </c>
      <c r="C17" s="14">
        <v>2.8</v>
      </c>
      <c r="D17" s="13"/>
      <c r="E17" s="14">
        <f>C17*A17</f>
        <v>0</v>
      </c>
      <c r="F17" s="13"/>
      <c r="G17" s="14">
        <f t="shared" ref="G17" si="8">C17*0.23*3*A17</f>
        <v>0</v>
      </c>
      <c r="H17" s="13"/>
    </row>
    <row r="18" spans="1:11" x14ac:dyDescent="0.25">
      <c r="A18" s="17"/>
      <c r="B18" t="s">
        <v>28</v>
      </c>
      <c r="C18" s="13"/>
      <c r="D18" s="13"/>
      <c r="E18" s="14">
        <f>G18*1000/(3*230)</f>
        <v>0</v>
      </c>
      <c r="F18" s="13"/>
      <c r="G18" s="11"/>
      <c r="H18" s="13"/>
    </row>
    <row r="19" spans="1:11" x14ac:dyDescent="0.25">
      <c r="A19" s="17"/>
      <c r="C19" s="4"/>
      <c r="D19" s="4"/>
      <c r="E19" s="4"/>
      <c r="F19" s="4"/>
      <c r="G19" s="4"/>
      <c r="H19" s="4"/>
    </row>
    <row r="20" spans="1:11" x14ac:dyDescent="0.25">
      <c r="A20" s="17"/>
      <c r="B20" s="2" t="s">
        <v>29</v>
      </c>
      <c r="C20" s="4"/>
      <c r="D20" s="4"/>
      <c r="E20" s="4"/>
      <c r="F20" s="4"/>
      <c r="G20" s="4"/>
      <c r="H20" s="4"/>
    </row>
    <row r="21" spans="1:11" x14ac:dyDescent="0.25">
      <c r="A21" s="18"/>
      <c r="B21" t="s">
        <v>27</v>
      </c>
      <c r="C21" s="14">
        <v>5.5</v>
      </c>
      <c r="D21" s="13"/>
      <c r="E21" s="14">
        <f>C21*A21</f>
        <v>0</v>
      </c>
      <c r="F21" s="13"/>
      <c r="G21" s="14">
        <f t="shared" ref="G21" si="9">C21*0.23*3*A21</f>
        <v>0</v>
      </c>
      <c r="H21" s="13"/>
    </row>
    <row r="22" spans="1:11" x14ac:dyDescent="0.25">
      <c r="A22" s="17"/>
      <c r="B22" s="2"/>
      <c r="C22" s="4"/>
      <c r="D22" s="4"/>
      <c r="E22" s="4"/>
      <c r="F22" s="4"/>
      <c r="G22" s="4"/>
      <c r="H22" s="4"/>
    </row>
    <row r="23" spans="1:11" x14ac:dyDescent="0.25">
      <c r="A23" s="17"/>
      <c r="B23" s="2" t="s">
        <v>30</v>
      </c>
      <c r="C23" s="4"/>
      <c r="D23" s="4"/>
      <c r="E23" s="4"/>
      <c r="F23" s="4"/>
      <c r="G23" s="4"/>
      <c r="H23" s="4"/>
    </row>
    <row r="24" spans="1:11" x14ac:dyDescent="0.25">
      <c r="A24" s="17"/>
      <c r="B24" t="s">
        <v>31</v>
      </c>
      <c r="C24" s="13"/>
      <c r="D24" s="13"/>
      <c r="E24" s="14">
        <f>G24*1000/(3*230)</f>
        <v>0</v>
      </c>
      <c r="F24" s="13"/>
      <c r="G24" s="11"/>
      <c r="H24" s="13"/>
    </row>
    <row r="25" spans="1:11" x14ac:dyDescent="0.25">
      <c r="A25" s="17"/>
      <c r="C25" s="4"/>
      <c r="D25" s="4"/>
      <c r="E25" s="4"/>
      <c r="F25" s="4"/>
      <c r="G25" s="4"/>
      <c r="H25" s="4"/>
    </row>
    <row r="26" spans="1:11" x14ac:dyDescent="0.25">
      <c r="A26" s="17"/>
      <c r="B26" s="2" t="s">
        <v>32</v>
      </c>
      <c r="C26" s="4"/>
      <c r="D26" s="4"/>
      <c r="E26" s="4"/>
      <c r="F26" s="4"/>
      <c r="G26" s="4"/>
      <c r="H26" s="4"/>
    </row>
    <row r="27" spans="1:11" x14ac:dyDescent="0.25">
      <c r="A27" s="18"/>
      <c r="B27" t="s">
        <v>33</v>
      </c>
      <c r="C27" s="14">
        <v>8.6999999999999993</v>
      </c>
      <c r="D27" s="14">
        <v>8.6999999999999993</v>
      </c>
      <c r="E27" s="14">
        <f t="shared" ref="E27" si="10">C27*A27</f>
        <v>0</v>
      </c>
      <c r="F27" s="14">
        <f t="shared" ref="F27" si="11">D27*A27</f>
        <v>0</v>
      </c>
      <c r="G27" s="14">
        <f t="shared" ref="G27" si="12">C27*0.23*3*A27</f>
        <v>0</v>
      </c>
      <c r="H27" s="14">
        <f t="shared" ref="H27" si="13">D27*0.23*3*A27</f>
        <v>0</v>
      </c>
    </row>
    <row r="28" spans="1:11" x14ac:dyDescent="0.25">
      <c r="A28" s="18"/>
      <c r="B28" t="s">
        <v>34</v>
      </c>
      <c r="C28" s="14">
        <v>32</v>
      </c>
      <c r="D28" s="14">
        <v>32</v>
      </c>
      <c r="E28" s="14">
        <f t="shared" ref="E28:E29" si="14">C28*A28</f>
        <v>0</v>
      </c>
      <c r="F28" s="14">
        <f t="shared" ref="F28:F29" si="15">D28*A28</f>
        <v>0</v>
      </c>
      <c r="G28" s="14">
        <f t="shared" ref="G28:G29" si="16">C28*0.23*3*A28</f>
        <v>0</v>
      </c>
      <c r="H28" s="14">
        <f t="shared" ref="H28:H29" si="17">D28*0.23*3*A28</f>
        <v>0</v>
      </c>
    </row>
    <row r="29" spans="1:11" x14ac:dyDescent="0.25">
      <c r="A29" s="18"/>
      <c r="B29" t="s">
        <v>35</v>
      </c>
      <c r="C29" s="14">
        <v>44</v>
      </c>
      <c r="D29" s="14">
        <v>44</v>
      </c>
      <c r="E29" s="14">
        <f t="shared" si="14"/>
        <v>0</v>
      </c>
      <c r="F29" s="14">
        <f t="shared" si="15"/>
        <v>0</v>
      </c>
      <c r="G29" s="14">
        <f t="shared" si="16"/>
        <v>0</v>
      </c>
      <c r="H29" s="14">
        <f t="shared" si="17"/>
        <v>0</v>
      </c>
    </row>
    <row r="30" spans="1:11" x14ac:dyDescent="0.25">
      <c r="A30" s="18"/>
      <c r="B30" t="s">
        <v>36</v>
      </c>
      <c r="C30" s="14">
        <v>65</v>
      </c>
      <c r="D30" s="14">
        <v>65</v>
      </c>
      <c r="E30" s="14">
        <f>C30*A30</f>
        <v>0</v>
      </c>
      <c r="F30" s="14">
        <f>D30*A30</f>
        <v>0</v>
      </c>
      <c r="G30" s="14">
        <f t="shared" ref="G30" si="18">C30*0.23*3*A30</f>
        <v>0</v>
      </c>
      <c r="H30" s="14">
        <f>D30*0.23*3*A30</f>
        <v>0</v>
      </c>
      <c r="K30" t="s">
        <v>37</v>
      </c>
    </row>
    <row r="31" spans="1:11" x14ac:dyDescent="0.25">
      <c r="A31" s="17"/>
      <c r="C31" s="4"/>
      <c r="D31" s="4"/>
      <c r="E31" s="4"/>
      <c r="F31" s="4"/>
      <c r="G31" s="4"/>
      <c r="H31" s="4"/>
    </row>
    <row r="32" spans="1:11" x14ac:dyDescent="0.25">
      <c r="A32" s="17"/>
      <c r="B32" s="2" t="s">
        <v>38</v>
      </c>
      <c r="C32" s="4"/>
      <c r="D32" s="4"/>
      <c r="E32" s="4"/>
      <c r="F32" s="4"/>
      <c r="G32" s="4"/>
      <c r="H32" s="4"/>
    </row>
    <row r="33" spans="1:9" x14ac:dyDescent="0.25">
      <c r="A33" s="18"/>
      <c r="B33" t="s">
        <v>39</v>
      </c>
      <c r="C33" s="14">
        <v>138</v>
      </c>
      <c r="D33" s="14">
        <v>138</v>
      </c>
      <c r="E33" s="14">
        <f>C33*A33</f>
        <v>0</v>
      </c>
      <c r="F33" s="14">
        <f>D33*A33</f>
        <v>0</v>
      </c>
      <c r="G33" s="14">
        <f t="shared" ref="G33" si="19">C33*0.23*3*A33</f>
        <v>0</v>
      </c>
      <c r="H33" s="14">
        <f>D33*0.23*3*A33</f>
        <v>0</v>
      </c>
    </row>
    <row r="34" spans="1:9" x14ac:dyDescent="0.25">
      <c r="A34" s="18"/>
      <c r="B34" t="s">
        <v>40</v>
      </c>
      <c r="C34" s="14">
        <v>210</v>
      </c>
      <c r="D34" s="14">
        <v>210</v>
      </c>
      <c r="E34" s="14">
        <f>C34*A34</f>
        <v>0</v>
      </c>
      <c r="F34" s="14">
        <f>D34*A34</f>
        <v>0</v>
      </c>
      <c r="G34" s="14">
        <f t="shared" ref="G34" si="20">C34*0.23*3*A34</f>
        <v>0</v>
      </c>
      <c r="H34" s="14">
        <f>D34*0.23*3*A34</f>
        <v>0</v>
      </c>
    </row>
    <row r="35" spans="1:9" x14ac:dyDescent="0.25">
      <c r="A35" s="18"/>
      <c r="B35" t="s">
        <v>41</v>
      </c>
      <c r="C35" s="18"/>
      <c r="D35" s="18"/>
      <c r="E35" s="14">
        <f>C35*A35</f>
        <v>0</v>
      </c>
      <c r="F35" s="14">
        <f>D35*A35</f>
        <v>0</v>
      </c>
      <c r="G35" s="14">
        <f t="shared" ref="G35" si="21">C35*0.23*3*A35</f>
        <v>0</v>
      </c>
      <c r="H35" s="14">
        <f>D35*0.23*3*A35</f>
        <v>0</v>
      </c>
    </row>
    <row r="36" spans="1:9" x14ac:dyDescent="0.25">
      <c r="A36" s="17"/>
      <c r="C36" s="4"/>
      <c r="D36" s="4"/>
      <c r="E36" s="4"/>
      <c r="F36" s="4"/>
      <c r="G36" s="4"/>
      <c r="H36" s="4"/>
    </row>
    <row r="37" spans="1:9" x14ac:dyDescent="0.25">
      <c r="A37" s="17"/>
      <c r="B37" s="2" t="s">
        <v>42</v>
      </c>
      <c r="C37" s="4"/>
      <c r="D37" s="4"/>
      <c r="E37" s="4"/>
      <c r="F37" s="4"/>
      <c r="G37" s="4"/>
      <c r="H37" s="4"/>
    </row>
    <row r="38" spans="1:9" x14ac:dyDescent="0.25">
      <c r="A38" s="18"/>
      <c r="B38" t="s">
        <v>43</v>
      </c>
      <c r="C38" s="14">
        <v>5.8</v>
      </c>
      <c r="D38" s="13"/>
      <c r="E38" s="14">
        <f t="shared" ref="E38" si="22">C38*A38</f>
        <v>0</v>
      </c>
      <c r="F38" s="13"/>
      <c r="G38" s="14">
        <f>C38*0.23*3*A38</f>
        <v>0</v>
      </c>
      <c r="H38" s="13"/>
    </row>
    <row r="39" spans="1:9" x14ac:dyDescent="0.25">
      <c r="A39" s="17"/>
      <c r="C39"/>
      <c r="D39"/>
      <c r="E39"/>
      <c r="F39"/>
      <c r="G39"/>
      <c r="H39"/>
    </row>
    <row r="40" spans="1:9" x14ac:dyDescent="0.25">
      <c r="A40" s="17"/>
      <c r="B40" s="2" t="s">
        <v>44</v>
      </c>
      <c r="C40"/>
      <c r="D40"/>
      <c r="E40"/>
      <c r="F40"/>
      <c r="G40"/>
      <c r="H40"/>
    </row>
    <row r="41" spans="1:9" x14ac:dyDescent="0.25">
      <c r="A41" s="18"/>
      <c r="B41" t="s">
        <v>45</v>
      </c>
      <c r="C41" s="14">
        <v>5.8</v>
      </c>
      <c r="D41" s="13"/>
      <c r="E41" s="14">
        <f>C41*A41</f>
        <v>0</v>
      </c>
      <c r="F41" s="13"/>
      <c r="G41" s="14">
        <f>C41*0.23*3*A41</f>
        <v>0</v>
      </c>
      <c r="H41" s="13"/>
    </row>
    <row r="42" spans="1:9" x14ac:dyDescent="0.25">
      <c r="A42" s="18"/>
      <c r="B42" t="s">
        <v>46</v>
      </c>
      <c r="C42" s="14">
        <v>22</v>
      </c>
      <c r="D42" s="13"/>
      <c r="E42" s="14">
        <f t="shared" ref="E42:E43" si="23">C42*A42</f>
        <v>0</v>
      </c>
      <c r="F42" s="13"/>
      <c r="G42" s="14">
        <f t="shared" ref="G42:G43" si="24">C42*0.23*3*A42</f>
        <v>0</v>
      </c>
      <c r="H42" s="13"/>
    </row>
    <row r="43" spans="1:9" x14ac:dyDescent="0.25">
      <c r="A43" s="18"/>
      <c r="B43" t="s">
        <v>47</v>
      </c>
      <c r="C43" s="14">
        <v>36</v>
      </c>
      <c r="D43" s="13"/>
      <c r="E43" s="14">
        <f t="shared" si="23"/>
        <v>0</v>
      </c>
      <c r="F43" s="13"/>
      <c r="G43" s="14">
        <f t="shared" si="24"/>
        <v>0</v>
      </c>
      <c r="H43" s="13"/>
    </row>
    <row r="45" spans="1:9" ht="15.75" x14ac:dyDescent="0.25">
      <c r="B45" s="7" t="s">
        <v>48</v>
      </c>
      <c r="C45" s="62">
        <f>SUM(E5:E43)</f>
        <v>0</v>
      </c>
    </row>
    <row r="46" spans="1:9" ht="15.75" x14ac:dyDescent="0.25">
      <c r="B46" s="7" t="s">
        <v>49</v>
      </c>
      <c r="C46" s="62">
        <f>SUM(F5:F43)</f>
        <v>0</v>
      </c>
    </row>
    <row r="47" spans="1:9" ht="15.75" x14ac:dyDescent="0.25">
      <c r="B47" s="7" t="s">
        <v>50</v>
      </c>
      <c r="C47" s="15">
        <f>SUM(G5:G43)</f>
        <v>0</v>
      </c>
      <c r="D47" s="61"/>
      <c r="E47" s="61"/>
      <c r="F47" s="61"/>
      <c r="I47" s="12"/>
    </row>
    <row r="48" spans="1:9" ht="15.75" x14ac:dyDescent="0.25">
      <c r="B48" s="7" t="s">
        <v>51</v>
      </c>
      <c r="C48" s="15">
        <f>SUM(H5:H43)</f>
        <v>0</v>
      </c>
      <c r="D48" s="12"/>
      <c r="E48" s="12"/>
      <c r="F48" s="12"/>
      <c r="G48" s="12"/>
      <c r="H48" s="12"/>
      <c r="I48" s="12"/>
    </row>
    <row r="49" spans="2:8" ht="15.75" x14ac:dyDescent="0.25">
      <c r="B49" s="7" t="s">
        <v>52</v>
      </c>
      <c r="C49" s="62">
        <f>MAX(C47:C48)/630</f>
        <v>0</v>
      </c>
      <c r="D49" s="10"/>
      <c r="E49" s="10"/>
      <c r="F49" s="10"/>
      <c r="G49" s="10"/>
      <c r="H49" s="10"/>
    </row>
    <row r="50" spans="2:8" ht="15.75" x14ac:dyDescent="0.25">
      <c r="B50" s="7"/>
      <c r="C50" s="63"/>
    </row>
  </sheetData>
  <mergeCells count="1">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1365-54EA-4EA8-BB58-9DE04AF5C984}">
  <dimension ref="A1:T45"/>
  <sheetViews>
    <sheetView topLeftCell="A7" zoomScaleNormal="100" workbookViewId="0">
      <selection activeCell="B9" sqref="B9"/>
    </sheetView>
  </sheetViews>
  <sheetFormatPr defaultRowHeight="15" x14ac:dyDescent="0.25"/>
  <cols>
    <col min="1" max="1" width="8.28515625" style="9" bestFit="1" customWidth="1"/>
    <col min="2" max="2" width="82.42578125" customWidth="1"/>
    <col min="3" max="3" width="12.28515625" style="3" bestFit="1" customWidth="1"/>
    <col min="4" max="4" width="11.7109375" style="3" bestFit="1" customWidth="1"/>
    <col min="5" max="6" width="11.7109375" style="3" customWidth="1"/>
    <col min="7" max="8" width="10.85546875" style="3" customWidth="1"/>
    <col min="9" max="9" width="3.28515625" customWidth="1"/>
    <col min="11" max="11" width="12.42578125" customWidth="1"/>
    <col min="13" max="13" width="10" customWidth="1"/>
    <col min="20" max="20" width="21.28515625" customWidth="1"/>
  </cols>
  <sheetData>
    <row r="1" spans="1:20" ht="18.75" x14ac:dyDescent="0.3">
      <c r="A1" s="126" t="s">
        <v>53</v>
      </c>
      <c r="B1" s="126"/>
      <c r="C1" s="126"/>
      <c r="D1" s="126"/>
      <c r="E1" s="126"/>
      <c r="F1" s="126"/>
      <c r="G1" s="126"/>
      <c r="H1" s="60"/>
    </row>
    <row r="2" spans="1:20" s="6" customFormat="1" ht="54.6" customHeight="1" x14ac:dyDescent="0.25">
      <c r="A2" s="8" t="s">
        <v>9</v>
      </c>
      <c r="B2" s="5" t="s">
        <v>10</v>
      </c>
      <c r="C2" s="5" t="s">
        <v>11</v>
      </c>
      <c r="D2" s="5" t="s">
        <v>12</v>
      </c>
      <c r="E2" s="8" t="s">
        <v>54</v>
      </c>
      <c r="F2" s="8" t="s">
        <v>55</v>
      </c>
      <c r="G2" s="8" t="s">
        <v>56</v>
      </c>
      <c r="H2" s="8" t="s">
        <v>57</v>
      </c>
    </row>
    <row r="4" spans="1:20" x14ac:dyDescent="0.25">
      <c r="A4" s="17"/>
      <c r="B4" s="2" t="s">
        <v>17</v>
      </c>
      <c r="K4" s="12" t="s">
        <v>18</v>
      </c>
      <c r="L4" s="16"/>
      <c r="M4" s="12" t="s">
        <v>19</v>
      </c>
    </row>
    <row r="5" spans="1:20" x14ac:dyDescent="0.25">
      <c r="A5" s="18"/>
      <c r="B5" t="s">
        <v>20</v>
      </c>
      <c r="C5" s="14">
        <v>10.3</v>
      </c>
      <c r="D5" s="14">
        <v>9.8000000000000007</v>
      </c>
      <c r="E5" s="14">
        <f>C5*A5</f>
        <v>0</v>
      </c>
      <c r="F5" s="14">
        <f>D5*A5</f>
        <v>0</v>
      </c>
      <c r="G5" s="14">
        <f>C5*0.23*3*A5</f>
        <v>0</v>
      </c>
      <c r="H5" s="14">
        <f>D5*0.23*3*A5</f>
        <v>0</v>
      </c>
      <c r="T5" s="1"/>
    </row>
    <row r="6" spans="1:20" x14ac:dyDescent="0.25">
      <c r="A6" s="18"/>
      <c r="B6" t="s">
        <v>21</v>
      </c>
      <c r="C6" s="14">
        <v>8.8000000000000007</v>
      </c>
      <c r="D6" s="14">
        <v>7.5</v>
      </c>
      <c r="E6" s="14">
        <f t="shared" ref="E6:E8" si="0">C6*A6</f>
        <v>0</v>
      </c>
      <c r="F6" s="14">
        <f t="shared" ref="F6:F8" si="1">D6*A6</f>
        <v>0</v>
      </c>
      <c r="G6" s="14">
        <f t="shared" ref="G6:G8" si="2">C6*0.23*3*A6</f>
        <v>0</v>
      </c>
      <c r="H6" s="14">
        <f t="shared" ref="H6:H8" si="3">D6*0.23*3*A6</f>
        <v>0</v>
      </c>
      <c r="T6" s="1"/>
    </row>
    <row r="7" spans="1:20" x14ac:dyDescent="0.25">
      <c r="A7" s="18"/>
      <c r="B7" t="s">
        <v>22</v>
      </c>
      <c r="C7" s="14">
        <v>7.8</v>
      </c>
      <c r="D7" s="14">
        <v>7.5</v>
      </c>
      <c r="E7" s="14">
        <f t="shared" si="0"/>
        <v>0</v>
      </c>
      <c r="F7" s="14">
        <f t="shared" si="1"/>
        <v>0</v>
      </c>
      <c r="G7" s="14">
        <f t="shared" si="2"/>
        <v>0</v>
      </c>
      <c r="H7" s="14">
        <f t="shared" si="3"/>
        <v>0</v>
      </c>
      <c r="T7" s="1"/>
    </row>
    <row r="8" spans="1:20" x14ac:dyDescent="0.25">
      <c r="A8" s="18"/>
      <c r="B8" t="s">
        <v>23</v>
      </c>
      <c r="C8" s="14">
        <v>8.4</v>
      </c>
      <c r="D8" s="14">
        <v>7.5</v>
      </c>
      <c r="E8" s="14">
        <f t="shared" si="0"/>
        <v>0</v>
      </c>
      <c r="F8" s="14">
        <f t="shared" si="1"/>
        <v>0</v>
      </c>
      <c r="G8" s="14">
        <f t="shared" si="2"/>
        <v>0</v>
      </c>
      <c r="H8" s="14">
        <f t="shared" si="3"/>
        <v>0</v>
      </c>
      <c r="T8" s="1"/>
    </row>
    <row r="9" spans="1:20" x14ac:dyDescent="0.25">
      <c r="A9" s="17"/>
      <c r="C9" s="4"/>
      <c r="D9" s="4"/>
      <c r="E9" s="4"/>
      <c r="F9" s="4"/>
      <c r="G9" s="4"/>
      <c r="H9" s="4"/>
      <c r="T9" s="1"/>
    </row>
    <row r="10" spans="1:20" x14ac:dyDescent="0.25">
      <c r="A10" s="17"/>
      <c r="B10" s="2" t="s">
        <v>24</v>
      </c>
      <c r="C10" s="4"/>
      <c r="D10" s="4"/>
      <c r="E10" s="4"/>
      <c r="F10" s="4"/>
      <c r="G10" s="4"/>
      <c r="H10" s="4"/>
    </row>
    <row r="11" spans="1:20" x14ac:dyDescent="0.25">
      <c r="A11" s="18"/>
      <c r="B11" t="s">
        <v>20</v>
      </c>
      <c r="C11" s="14">
        <v>4.0999999999999996</v>
      </c>
      <c r="D11" s="14">
        <v>9.8000000000000007</v>
      </c>
      <c r="E11" s="14">
        <f>C11*A11</f>
        <v>0</v>
      </c>
      <c r="F11" s="14">
        <f>D11*A11</f>
        <v>0</v>
      </c>
      <c r="G11" s="14">
        <f t="shared" ref="G11:G14" si="4">C11*0.23*3*A11</f>
        <v>0</v>
      </c>
      <c r="H11" s="14">
        <f>D11*0.23*3*A11</f>
        <v>0</v>
      </c>
    </row>
    <row r="12" spans="1:20" x14ac:dyDescent="0.25">
      <c r="A12" s="18"/>
      <c r="B12" t="s">
        <v>25</v>
      </c>
      <c r="C12" s="14">
        <v>4.0999999999999996</v>
      </c>
      <c r="D12" s="14">
        <v>7.5</v>
      </c>
      <c r="E12" s="14">
        <f t="shared" ref="E12:E14" si="5">C12*A12</f>
        <v>0</v>
      </c>
      <c r="F12" s="14">
        <f t="shared" ref="F12:F14" si="6">D12*A12</f>
        <v>0</v>
      </c>
      <c r="G12" s="14">
        <f t="shared" si="4"/>
        <v>0</v>
      </c>
      <c r="H12" s="14">
        <f t="shared" ref="H12:H14" si="7">D12*0.23*3*A12</f>
        <v>0</v>
      </c>
    </row>
    <row r="13" spans="1:20" x14ac:dyDescent="0.25">
      <c r="A13" s="18"/>
      <c r="B13" t="s">
        <v>22</v>
      </c>
      <c r="C13" s="14">
        <v>4.0999999999999996</v>
      </c>
      <c r="D13" s="14">
        <v>7.5</v>
      </c>
      <c r="E13" s="14">
        <f t="shared" si="5"/>
        <v>0</v>
      </c>
      <c r="F13" s="14">
        <f t="shared" si="6"/>
        <v>0</v>
      </c>
      <c r="G13" s="14">
        <f t="shared" si="4"/>
        <v>0</v>
      </c>
      <c r="H13" s="14">
        <f t="shared" si="7"/>
        <v>0</v>
      </c>
    </row>
    <row r="14" spans="1:20" x14ac:dyDescent="0.25">
      <c r="A14" s="18"/>
      <c r="B14" t="s">
        <v>23</v>
      </c>
      <c r="C14" s="14">
        <v>4.0999999999999996</v>
      </c>
      <c r="D14" s="14">
        <v>7.5</v>
      </c>
      <c r="E14" s="14">
        <f t="shared" si="5"/>
        <v>0</v>
      </c>
      <c r="F14" s="14">
        <f t="shared" si="6"/>
        <v>0</v>
      </c>
      <c r="G14" s="14">
        <f t="shared" si="4"/>
        <v>0</v>
      </c>
      <c r="H14" s="14">
        <f t="shared" si="7"/>
        <v>0</v>
      </c>
    </row>
    <row r="15" spans="1:20" x14ac:dyDescent="0.25">
      <c r="A15" s="17"/>
      <c r="C15" s="4"/>
      <c r="D15" s="4"/>
      <c r="E15" s="4"/>
      <c r="F15" s="4"/>
      <c r="G15" s="4"/>
      <c r="H15" s="4"/>
    </row>
    <row r="16" spans="1:20" x14ac:dyDescent="0.25">
      <c r="A16" s="17"/>
      <c r="B16" s="2" t="s">
        <v>26</v>
      </c>
      <c r="C16" s="4"/>
      <c r="D16" s="4"/>
      <c r="E16" s="4"/>
      <c r="F16" s="4"/>
      <c r="G16" s="4"/>
      <c r="H16" s="4"/>
    </row>
    <row r="17" spans="1:11" x14ac:dyDescent="0.25">
      <c r="A17" s="18"/>
      <c r="B17" t="s">
        <v>27</v>
      </c>
      <c r="C17" s="14">
        <v>3.5</v>
      </c>
      <c r="D17" s="13"/>
      <c r="E17" s="14">
        <f>C17*A17</f>
        <v>0</v>
      </c>
      <c r="F17" s="13"/>
      <c r="G17" s="14">
        <f t="shared" ref="G17" si="8">C17*0.23*3*A17</f>
        <v>0</v>
      </c>
      <c r="H17" s="13"/>
    </row>
    <row r="18" spans="1:11" x14ac:dyDescent="0.25">
      <c r="A18" s="17"/>
      <c r="B18" t="s">
        <v>28</v>
      </c>
      <c r="C18" s="13"/>
      <c r="D18" s="13"/>
      <c r="E18" s="14">
        <f>G18*1000/(3*230)</f>
        <v>0</v>
      </c>
      <c r="F18" s="13"/>
      <c r="G18" s="11"/>
      <c r="H18" s="13"/>
    </row>
    <row r="19" spans="1:11" x14ac:dyDescent="0.25">
      <c r="A19" s="17"/>
      <c r="C19" s="4"/>
      <c r="D19" s="4"/>
      <c r="E19" s="4"/>
      <c r="F19" s="4"/>
      <c r="G19" s="4"/>
      <c r="H19" s="4"/>
    </row>
    <row r="20" spans="1:11" x14ac:dyDescent="0.25">
      <c r="A20" s="17"/>
      <c r="B20" s="2" t="s">
        <v>29</v>
      </c>
      <c r="C20" s="4"/>
      <c r="D20" s="4"/>
      <c r="E20" s="4"/>
      <c r="F20" s="4"/>
      <c r="G20" s="4"/>
      <c r="H20" s="4"/>
    </row>
    <row r="21" spans="1:11" x14ac:dyDescent="0.25">
      <c r="A21" s="18"/>
      <c r="B21" t="s">
        <v>27</v>
      </c>
      <c r="C21" s="14">
        <v>6</v>
      </c>
      <c r="D21" s="13"/>
      <c r="E21" s="14">
        <f>C21*A21</f>
        <v>0</v>
      </c>
      <c r="F21" s="13"/>
      <c r="G21" s="14">
        <f t="shared" ref="G21" si="9">C21*0.23*3*A21</f>
        <v>0</v>
      </c>
      <c r="H21" s="13"/>
    </row>
    <row r="22" spans="1:11" x14ac:dyDescent="0.25">
      <c r="A22" s="17"/>
      <c r="B22" s="2"/>
      <c r="C22" s="4"/>
      <c r="D22" s="4"/>
      <c r="E22" s="4"/>
      <c r="F22" s="4"/>
      <c r="G22" s="4"/>
      <c r="H22" s="4"/>
    </row>
    <row r="23" spans="1:11" x14ac:dyDescent="0.25">
      <c r="A23" s="17"/>
      <c r="B23" s="2" t="s">
        <v>30</v>
      </c>
      <c r="C23" s="4"/>
      <c r="D23" s="4"/>
      <c r="E23" s="4"/>
      <c r="F23" s="4"/>
      <c r="G23" s="4"/>
      <c r="H23" s="4"/>
    </row>
    <row r="24" spans="1:11" x14ac:dyDescent="0.25">
      <c r="A24" s="17"/>
      <c r="B24" t="s">
        <v>31</v>
      </c>
      <c r="C24" s="13"/>
      <c r="D24" s="13"/>
      <c r="E24" s="14">
        <f>G24*1000/(3*230)</f>
        <v>0</v>
      </c>
      <c r="F24" s="13"/>
      <c r="G24" s="11"/>
      <c r="H24" s="13"/>
    </row>
    <row r="25" spans="1:11" x14ac:dyDescent="0.25">
      <c r="A25" s="17"/>
      <c r="C25" s="4"/>
      <c r="D25" s="4"/>
      <c r="E25" s="4"/>
      <c r="F25" s="4"/>
      <c r="G25" s="4"/>
      <c r="H25" s="4"/>
    </row>
    <row r="26" spans="1:11" x14ac:dyDescent="0.25">
      <c r="A26" s="17"/>
      <c r="B26" s="2" t="s">
        <v>32</v>
      </c>
      <c r="C26" s="4"/>
      <c r="D26" s="4"/>
      <c r="E26" s="4"/>
      <c r="F26" s="4"/>
      <c r="G26" s="4"/>
      <c r="H26" s="4"/>
    </row>
    <row r="27" spans="1:11" x14ac:dyDescent="0.25">
      <c r="A27" s="18"/>
      <c r="B27" t="s">
        <v>33</v>
      </c>
      <c r="C27" s="14">
        <v>8.6999999999999993</v>
      </c>
      <c r="D27" s="14">
        <v>8.6999999999999993</v>
      </c>
      <c r="E27" s="14">
        <f t="shared" ref="E27" si="10">C27*A27</f>
        <v>0</v>
      </c>
      <c r="F27" s="14">
        <f t="shared" ref="F27" si="11">D27*A27</f>
        <v>0</v>
      </c>
      <c r="G27" s="14">
        <f t="shared" ref="G27" si="12">C27*0.23*3*A27</f>
        <v>0</v>
      </c>
      <c r="H27" s="14">
        <f t="shared" ref="H27" si="13">D27*0.23*3*A27</f>
        <v>0</v>
      </c>
    </row>
    <row r="28" spans="1:11" x14ac:dyDescent="0.25">
      <c r="A28" s="18"/>
      <c r="B28" t="s">
        <v>34</v>
      </c>
      <c r="C28" s="14">
        <v>32</v>
      </c>
      <c r="D28" s="14">
        <v>32</v>
      </c>
      <c r="E28" s="14">
        <f t="shared" ref="E28:E29" si="14">C28*A28</f>
        <v>0</v>
      </c>
      <c r="F28" s="14">
        <f t="shared" ref="F28:F29" si="15">D28*A28</f>
        <v>0</v>
      </c>
      <c r="G28" s="14">
        <f t="shared" ref="G28:G29" si="16">C28*0.23*3*A28</f>
        <v>0</v>
      </c>
      <c r="H28" s="14">
        <f t="shared" ref="H28:H29" si="17">D28*0.23*3*A28</f>
        <v>0</v>
      </c>
    </row>
    <row r="29" spans="1:11" x14ac:dyDescent="0.25">
      <c r="A29" s="18"/>
      <c r="B29" t="s">
        <v>35</v>
      </c>
      <c r="C29" s="14">
        <v>44</v>
      </c>
      <c r="D29" s="14">
        <v>44</v>
      </c>
      <c r="E29" s="14">
        <f t="shared" si="14"/>
        <v>0</v>
      </c>
      <c r="F29" s="14">
        <f t="shared" si="15"/>
        <v>0</v>
      </c>
      <c r="G29" s="14">
        <f t="shared" si="16"/>
        <v>0</v>
      </c>
      <c r="H29" s="14">
        <f t="shared" si="17"/>
        <v>0</v>
      </c>
    </row>
    <row r="30" spans="1:11" x14ac:dyDescent="0.25">
      <c r="A30" s="18"/>
      <c r="B30" t="s">
        <v>36</v>
      </c>
      <c r="C30" s="14">
        <v>65</v>
      </c>
      <c r="D30" s="14">
        <v>65</v>
      </c>
      <c r="E30" s="14">
        <f>C30*A30</f>
        <v>0</v>
      </c>
      <c r="F30" s="14">
        <f>D30*A30</f>
        <v>0</v>
      </c>
      <c r="G30" s="14">
        <f t="shared" ref="G30" si="18">C30*0.23*3*A30</f>
        <v>0</v>
      </c>
      <c r="H30" s="14">
        <f>D30*0.23*3*A30</f>
        <v>0</v>
      </c>
      <c r="K30" t="s">
        <v>37</v>
      </c>
    </row>
    <row r="31" spans="1:11" x14ac:dyDescent="0.25">
      <c r="A31" s="17"/>
      <c r="C31" s="4"/>
      <c r="D31" s="4"/>
      <c r="E31" s="4"/>
      <c r="F31" s="4"/>
      <c r="G31" s="4"/>
      <c r="H31" s="4"/>
    </row>
    <row r="32" spans="1:11" x14ac:dyDescent="0.25">
      <c r="A32" s="17"/>
      <c r="B32" s="2" t="s">
        <v>38</v>
      </c>
      <c r="C32" s="4"/>
      <c r="D32" s="4"/>
      <c r="E32" s="4"/>
      <c r="F32" s="4"/>
      <c r="G32" s="4"/>
      <c r="H32" s="4"/>
    </row>
    <row r="33" spans="1:8" x14ac:dyDescent="0.25">
      <c r="A33" s="18"/>
      <c r="B33" t="s">
        <v>39</v>
      </c>
      <c r="C33" s="14">
        <v>138</v>
      </c>
      <c r="D33" s="14">
        <v>138</v>
      </c>
      <c r="E33" s="14">
        <f>C33*A33</f>
        <v>0</v>
      </c>
      <c r="F33" s="14">
        <f>D33*A33</f>
        <v>0</v>
      </c>
      <c r="G33" s="14">
        <f t="shared" ref="G33" si="19">C33*0.23*3*A33</f>
        <v>0</v>
      </c>
      <c r="H33" s="14">
        <f>D33*0.23*3*A33</f>
        <v>0</v>
      </c>
    </row>
    <row r="34" spans="1:8" x14ac:dyDescent="0.25">
      <c r="A34" s="18"/>
      <c r="B34" t="s">
        <v>40</v>
      </c>
      <c r="C34" s="14">
        <v>210</v>
      </c>
      <c r="D34" s="14">
        <v>210</v>
      </c>
      <c r="E34" s="14">
        <f>C34*A34</f>
        <v>0</v>
      </c>
      <c r="F34" s="14">
        <f>D34*A34</f>
        <v>0</v>
      </c>
      <c r="G34" s="14">
        <f t="shared" ref="G34" si="20">C34*0.23*3*A34</f>
        <v>0</v>
      </c>
      <c r="H34" s="14">
        <f>D34*0.23*3*A34</f>
        <v>0</v>
      </c>
    </row>
    <row r="35" spans="1:8" x14ac:dyDescent="0.25">
      <c r="A35" s="18"/>
      <c r="B35" t="s">
        <v>41</v>
      </c>
      <c r="C35" s="18"/>
      <c r="D35" s="18"/>
      <c r="E35" s="14">
        <f>C35*A35</f>
        <v>0</v>
      </c>
      <c r="F35" s="14">
        <f>D35*A35</f>
        <v>0</v>
      </c>
      <c r="G35" s="14">
        <f t="shared" ref="G35" si="21">C35*0.23*3*A35</f>
        <v>0</v>
      </c>
      <c r="H35" s="14">
        <f>D35*0.23*3*A35</f>
        <v>0</v>
      </c>
    </row>
    <row r="36" spans="1:8" x14ac:dyDescent="0.25">
      <c r="A36" s="17"/>
      <c r="C36" s="4"/>
      <c r="D36" s="4"/>
      <c r="E36" s="4"/>
      <c r="F36" s="4"/>
      <c r="G36" s="4"/>
      <c r="H36" s="4"/>
    </row>
    <row r="37" spans="1:8" x14ac:dyDescent="0.25">
      <c r="A37" s="17"/>
      <c r="B37" s="2" t="s">
        <v>42</v>
      </c>
      <c r="C37" s="4"/>
      <c r="D37" s="4"/>
      <c r="E37" s="4"/>
      <c r="F37" s="4"/>
      <c r="G37" s="4"/>
      <c r="H37" s="4"/>
    </row>
    <row r="38" spans="1:8" x14ac:dyDescent="0.25">
      <c r="A38" s="18"/>
      <c r="B38" t="s">
        <v>43</v>
      </c>
      <c r="C38" s="14">
        <v>6.7</v>
      </c>
      <c r="D38" s="13"/>
      <c r="E38" s="14">
        <f t="shared" ref="E38" si="22">C38*A38</f>
        <v>0</v>
      </c>
      <c r="F38" s="13"/>
      <c r="G38" s="14">
        <f>C38*0.23*3*A38</f>
        <v>0</v>
      </c>
      <c r="H38" s="13"/>
    </row>
    <row r="39" spans="1:8" x14ac:dyDescent="0.25">
      <c r="A39" s="17"/>
    </row>
    <row r="40" spans="1:8" x14ac:dyDescent="0.25">
      <c r="A40" s="17"/>
      <c r="B40" s="2" t="s">
        <v>44</v>
      </c>
    </row>
    <row r="41" spans="1:8" x14ac:dyDescent="0.25">
      <c r="A41" s="18"/>
      <c r="B41" t="s">
        <v>45</v>
      </c>
      <c r="C41" s="14">
        <v>5.8</v>
      </c>
      <c r="D41" s="13"/>
      <c r="E41" s="14">
        <f>C41*A41</f>
        <v>0</v>
      </c>
      <c r="F41" s="13"/>
      <c r="G41" s="14">
        <f>C41*0.23*3*A41</f>
        <v>0</v>
      </c>
      <c r="H41" s="13"/>
    </row>
    <row r="42" spans="1:8" x14ac:dyDescent="0.25">
      <c r="A42" s="18"/>
      <c r="B42" t="s">
        <v>46</v>
      </c>
      <c r="C42" s="14">
        <v>22</v>
      </c>
      <c r="D42" s="13"/>
      <c r="E42" s="14">
        <f t="shared" ref="E42:E43" si="23">C42*A42</f>
        <v>0</v>
      </c>
      <c r="F42" s="13"/>
      <c r="G42" s="14">
        <f t="shared" ref="G42:G43" si="24">C42*0.23*3*A42</f>
        <v>0</v>
      </c>
      <c r="H42" s="13"/>
    </row>
    <row r="43" spans="1:8" x14ac:dyDescent="0.25">
      <c r="A43" s="18"/>
      <c r="B43" t="s">
        <v>47</v>
      </c>
      <c r="C43" s="14">
        <v>36</v>
      </c>
      <c r="D43" s="13"/>
      <c r="E43" s="14">
        <f t="shared" si="23"/>
        <v>0</v>
      </c>
      <c r="F43" s="13"/>
      <c r="G43" s="14">
        <f t="shared" si="24"/>
        <v>0</v>
      </c>
      <c r="H43" s="13"/>
    </row>
    <row r="45" spans="1:8" ht="15.75" x14ac:dyDescent="0.25">
      <c r="B45" s="7" t="s">
        <v>58</v>
      </c>
      <c r="C45" s="62">
        <f>MAX(SUM(E5:E43),SUM(F5:F43))</f>
        <v>0</v>
      </c>
    </row>
  </sheetData>
  <mergeCells count="1">
    <mergeCell ref="A1:G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4FF7-1C1E-413C-8B1D-00626D003F7E}">
  <dimension ref="A1:Q35"/>
  <sheetViews>
    <sheetView topLeftCell="A24" zoomScale="90" zoomScaleNormal="90" workbookViewId="0">
      <selection activeCell="B63" sqref="B63"/>
    </sheetView>
  </sheetViews>
  <sheetFormatPr defaultRowHeight="15" x14ac:dyDescent="0.25"/>
  <cols>
    <col min="1" max="1" width="8.28515625" style="9" bestFit="1" customWidth="1"/>
    <col min="2" max="2" width="82.42578125" customWidth="1"/>
    <col min="3" max="3" width="12.28515625" style="3" bestFit="1" customWidth="1"/>
    <col min="4" max="4" width="11.7109375" style="3" customWidth="1"/>
    <col min="5" max="5" width="10.85546875" style="3" customWidth="1"/>
    <col min="6" max="6" width="3.28515625" customWidth="1"/>
    <col min="8" max="8" width="12.5703125" customWidth="1"/>
    <col min="10" max="10" width="10" customWidth="1"/>
    <col min="17" max="17" width="21.28515625" customWidth="1"/>
  </cols>
  <sheetData>
    <row r="1" spans="1:17" ht="18.75" x14ac:dyDescent="0.3">
      <c r="A1" s="126" t="s">
        <v>59</v>
      </c>
      <c r="B1" s="126"/>
      <c r="C1" s="126"/>
      <c r="D1" s="126"/>
      <c r="E1" s="126"/>
    </row>
    <row r="2" spans="1:17" s="6" customFormat="1" ht="54.6" customHeight="1" x14ac:dyDescent="0.25">
      <c r="A2" s="8" t="s">
        <v>9</v>
      </c>
      <c r="B2" s="5" t="s">
        <v>10</v>
      </c>
      <c r="C2" s="5" t="s">
        <v>60</v>
      </c>
      <c r="D2" s="8" t="s">
        <v>61</v>
      </c>
      <c r="E2" s="8" t="s">
        <v>62</v>
      </c>
    </row>
    <row r="4" spans="1:17" x14ac:dyDescent="0.25">
      <c r="A4" s="17"/>
      <c r="B4" s="2" t="s">
        <v>26</v>
      </c>
      <c r="C4" s="4"/>
      <c r="D4" s="4"/>
      <c r="E4" s="4"/>
      <c r="H4" s="12" t="s">
        <v>18</v>
      </c>
      <c r="I4" s="16"/>
      <c r="J4" s="12" t="s">
        <v>19</v>
      </c>
    </row>
    <row r="5" spans="1:17" x14ac:dyDescent="0.25">
      <c r="A5" s="18"/>
      <c r="B5" t="s">
        <v>63</v>
      </c>
      <c r="C5" s="14">
        <v>1.7</v>
      </c>
      <c r="D5" s="14">
        <f>C5*A5</f>
        <v>0</v>
      </c>
      <c r="E5" s="14">
        <f t="shared" ref="E5" si="0">C5*0.23*3*A5</f>
        <v>0</v>
      </c>
      <c r="Q5" s="1"/>
    </row>
    <row r="6" spans="1:17" x14ac:dyDescent="0.25">
      <c r="A6" s="17"/>
      <c r="C6" s="4"/>
      <c r="D6" s="4"/>
      <c r="E6" s="4"/>
      <c r="Q6" s="1"/>
    </row>
    <row r="7" spans="1:17" x14ac:dyDescent="0.25">
      <c r="A7" s="17"/>
      <c r="B7" s="2" t="s">
        <v>29</v>
      </c>
      <c r="C7" s="4"/>
      <c r="D7" s="4"/>
      <c r="E7" s="4"/>
      <c r="Q7" s="1"/>
    </row>
    <row r="8" spans="1:17" x14ac:dyDescent="0.25">
      <c r="A8" s="18"/>
      <c r="B8" t="s">
        <v>63</v>
      </c>
      <c r="C8" s="14">
        <v>4.3</v>
      </c>
      <c r="D8" s="14">
        <f>C8*A8</f>
        <v>0</v>
      </c>
      <c r="E8" s="14">
        <f t="shared" ref="E8" si="1">C8*0.23*3*A8</f>
        <v>0</v>
      </c>
      <c r="Q8" s="1"/>
    </row>
    <row r="9" spans="1:17" x14ac:dyDescent="0.25">
      <c r="A9" s="17"/>
      <c r="B9" s="2"/>
      <c r="C9" s="4"/>
      <c r="D9" s="4"/>
      <c r="E9" s="4"/>
    </row>
    <row r="10" spans="1:17" x14ac:dyDescent="0.25">
      <c r="A10" s="17"/>
      <c r="B10" s="2" t="s">
        <v>30</v>
      </c>
      <c r="C10" s="4"/>
      <c r="D10" s="4"/>
      <c r="E10" s="4"/>
    </row>
    <row r="11" spans="1:17" x14ac:dyDescent="0.25">
      <c r="A11" s="17"/>
      <c r="B11" t="s">
        <v>31</v>
      </c>
      <c r="C11" s="13"/>
      <c r="D11" s="14">
        <f>E11*1000/(3*230)</f>
        <v>0</v>
      </c>
      <c r="E11" s="11"/>
    </row>
    <row r="12" spans="1:17" x14ac:dyDescent="0.25">
      <c r="A12" s="17"/>
      <c r="C12" s="4"/>
      <c r="D12" s="4"/>
      <c r="E12" s="4"/>
    </row>
    <row r="13" spans="1:17" x14ac:dyDescent="0.25">
      <c r="A13" s="17"/>
      <c r="B13" s="2" t="s">
        <v>32</v>
      </c>
      <c r="C13" s="4"/>
      <c r="D13" s="4"/>
      <c r="E13" s="4"/>
    </row>
    <row r="14" spans="1:17" x14ac:dyDescent="0.25">
      <c r="A14" s="18"/>
      <c r="B14" t="s">
        <v>64</v>
      </c>
      <c r="C14" s="14">
        <v>8.6999999999999993</v>
      </c>
      <c r="D14" s="14">
        <f t="shared" ref="D14" si="2">C14*A14</f>
        <v>0</v>
      </c>
      <c r="E14" s="14">
        <f t="shared" ref="E14" si="3">C14*0.23*3*A14</f>
        <v>0</v>
      </c>
    </row>
    <row r="15" spans="1:17" x14ac:dyDescent="0.25">
      <c r="A15" s="18"/>
      <c r="B15" t="s">
        <v>34</v>
      </c>
      <c r="C15" s="14">
        <v>32</v>
      </c>
      <c r="D15" s="14">
        <f t="shared" ref="D15:D16" si="4">C15*A15</f>
        <v>0</v>
      </c>
      <c r="E15" s="14">
        <f t="shared" ref="E15:E16" si="5">C15*0.23*3*A15</f>
        <v>0</v>
      </c>
    </row>
    <row r="16" spans="1:17" x14ac:dyDescent="0.25">
      <c r="A16" s="18"/>
      <c r="B16" t="s">
        <v>35</v>
      </c>
      <c r="C16" s="14">
        <v>44</v>
      </c>
      <c r="D16" s="14">
        <f t="shared" si="4"/>
        <v>0</v>
      </c>
      <c r="E16" s="14">
        <f t="shared" si="5"/>
        <v>0</v>
      </c>
    </row>
    <row r="17" spans="1:8" x14ac:dyDescent="0.25">
      <c r="A17" s="18"/>
      <c r="B17" t="s">
        <v>36</v>
      </c>
      <c r="C17" s="14">
        <v>65</v>
      </c>
      <c r="D17" s="14">
        <f>C17*A17</f>
        <v>0</v>
      </c>
      <c r="E17" s="14">
        <f t="shared" ref="E17" si="6">C17*0.23*3*A17</f>
        <v>0</v>
      </c>
    </row>
    <row r="20" spans="1:8" ht="15.75" x14ac:dyDescent="0.25">
      <c r="B20" s="7" t="s">
        <v>65</v>
      </c>
      <c r="C20" s="62">
        <f>SUM(D5:D17)</f>
        <v>0</v>
      </c>
    </row>
    <row r="21" spans="1:8" ht="15.75" x14ac:dyDescent="0.25">
      <c r="B21" s="7"/>
      <c r="C21" s="64"/>
    </row>
    <row r="23" spans="1:8" ht="22.5" x14ac:dyDescent="0.25">
      <c r="B23" s="19" t="s">
        <v>66</v>
      </c>
    </row>
    <row r="24" spans="1:8" x14ac:dyDescent="0.25">
      <c r="B24" s="127"/>
    </row>
    <row r="25" spans="1:8" x14ac:dyDescent="0.25">
      <c r="B25" s="128"/>
    </row>
    <row r="26" spans="1:8" x14ac:dyDescent="0.25">
      <c r="B26" s="128"/>
    </row>
    <row r="27" spans="1:8" x14ac:dyDescent="0.25">
      <c r="B27" s="128"/>
    </row>
    <row r="28" spans="1:8" x14ac:dyDescent="0.25">
      <c r="B28" s="128"/>
    </row>
    <row r="29" spans="1:8" x14ac:dyDescent="0.25">
      <c r="B29" s="128"/>
    </row>
    <row r="30" spans="1:8" ht="46.5" x14ac:dyDescent="0.25">
      <c r="A30"/>
      <c r="B30" s="20" t="s">
        <v>67</v>
      </c>
      <c r="E30"/>
    </row>
    <row r="31" spans="1:8" x14ac:dyDescent="0.25">
      <c r="A31"/>
      <c r="C31"/>
      <c r="D31"/>
      <c r="E31"/>
      <c r="H31" t="s">
        <v>37</v>
      </c>
    </row>
    <row r="32" spans="1:8" x14ac:dyDescent="0.25">
      <c r="A32"/>
      <c r="C32"/>
      <c r="D32"/>
      <c r="E32"/>
    </row>
    <row r="33" customFormat="1" x14ac:dyDescent="0.25"/>
    <row r="34" customFormat="1" x14ac:dyDescent="0.25"/>
    <row r="35" customFormat="1" x14ac:dyDescent="0.25"/>
  </sheetData>
  <mergeCells count="2">
    <mergeCell ref="A1:E1"/>
    <mergeCell ref="B24:B2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C7A1-804E-4ED7-955C-FFB748C0FD98}">
  <dimension ref="B1:Y63"/>
  <sheetViews>
    <sheetView tabSelected="1" topLeftCell="E6" zoomScale="85" zoomScaleNormal="85" workbookViewId="0">
      <selection activeCell="T13" sqref="T13"/>
    </sheetView>
  </sheetViews>
  <sheetFormatPr defaultRowHeight="15" x14ac:dyDescent="0.25"/>
  <cols>
    <col min="1" max="1" width="1.5703125" customWidth="1"/>
    <col min="2" max="2" width="21.5703125" customWidth="1"/>
    <col min="3" max="4" width="8.85546875" style="27"/>
    <col min="5" max="5" width="12.140625" style="27" bestFit="1" customWidth="1"/>
    <col min="6" max="8" width="12.140625" style="27" customWidth="1"/>
    <col min="9" max="9" width="6.42578125" style="27" bestFit="1" customWidth="1"/>
    <col min="10" max="16" width="12.7109375" style="24" customWidth="1"/>
    <col min="17" max="17" width="70.5703125" style="27" customWidth="1"/>
    <col min="18" max="18" width="46.28515625" customWidth="1"/>
    <col min="23" max="23" width="10.7109375" customWidth="1"/>
  </cols>
  <sheetData>
    <row r="1" spans="2:25" ht="23.25" x14ac:dyDescent="0.35">
      <c r="B1" s="21" t="s">
        <v>68</v>
      </c>
      <c r="C1" s="22"/>
      <c r="D1" s="22"/>
      <c r="E1" s="22"/>
      <c r="F1" s="22"/>
      <c r="G1" s="22"/>
      <c r="H1" s="22"/>
      <c r="I1" s="22"/>
      <c r="J1" s="23"/>
      <c r="K1" s="23"/>
      <c r="L1" s="23"/>
      <c r="M1" s="23"/>
      <c r="Q1" s="25" t="s">
        <v>69</v>
      </c>
    </row>
    <row r="2" spans="2:25" ht="18.75" x14ac:dyDescent="0.3">
      <c r="B2" s="26" t="s">
        <v>70</v>
      </c>
      <c r="C2" s="26"/>
      <c r="D2" s="26"/>
      <c r="E2" s="26"/>
      <c r="F2" s="26"/>
      <c r="G2" s="26"/>
      <c r="H2" s="26"/>
      <c r="I2" s="26"/>
      <c r="J2" s="26"/>
      <c r="K2" s="26"/>
      <c r="L2" s="26"/>
      <c r="M2" s="26"/>
      <c r="N2" s="26"/>
      <c r="O2" s="26"/>
      <c r="P2" s="26"/>
      <c r="Q2" s="26"/>
      <c r="R2" s="26"/>
    </row>
    <row r="3" spans="2:25" ht="18.75" x14ac:dyDescent="0.3">
      <c r="B3" s="26" t="s">
        <v>71</v>
      </c>
      <c r="C3" s="26"/>
      <c r="D3" s="26"/>
      <c r="E3" s="26"/>
      <c r="F3" s="26"/>
      <c r="G3" s="26"/>
      <c r="H3" s="26"/>
      <c r="I3" s="26"/>
      <c r="J3" s="26"/>
      <c r="K3" s="26"/>
      <c r="L3" s="26"/>
      <c r="M3" s="26"/>
      <c r="N3" s="26"/>
      <c r="O3" s="26"/>
      <c r="P3" s="26"/>
      <c r="Q3" s="26"/>
      <c r="R3" s="26"/>
    </row>
    <row r="4" spans="2:25" ht="18.75" x14ac:dyDescent="0.3">
      <c r="B4" s="26"/>
      <c r="C4" s="26"/>
      <c r="D4" s="26"/>
      <c r="E4" s="26"/>
      <c r="F4" s="26"/>
      <c r="G4" s="26"/>
      <c r="H4" s="26"/>
      <c r="I4" s="26"/>
      <c r="J4" s="26"/>
      <c r="K4" s="26"/>
      <c r="L4" s="26"/>
      <c r="M4" s="26"/>
      <c r="N4" s="26"/>
      <c r="O4" s="26"/>
      <c r="P4" s="26"/>
      <c r="Q4" s="26"/>
      <c r="R4" s="26"/>
    </row>
    <row r="5" spans="2:25" ht="18.75" x14ac:dyDescent="0.3">
      <c r="B5" s="26"/>
      <c r="C5" s="26"/>
      <c r="D5" s="26"/>
      <c r="E5" s="26"/>
      <c r="F5" s="26"/>
      <c r="G5" s="26"/>
      <c r="H5" s="26"/>
      <c r="I5" s="26"/>
      <c r="J5" s="26"/>
      <c r="K5" s="26"/>
      <c r="L5" s="26"/>
      <c r="M5" s="26"/>
      <c r="N5" s="26"/>
      <c r="O5" s="26"/>
      <c r="P5" s="26"/>
      <c r="Q5" s="26"/>
      <c r="R5" s="26"/>
    </row>
    <row r="6" spans="2:25" ht="18.75" x14ac:dyDescent="0.3">
      <c r="B6" s="26"/>
      <c r="C6" s="26"/>
      <c r="D6" s="26"/>
      <c r="E6" s="26"/>
      <c r="F6" s="26"/>
      <c r="G6" s="26"/>
      <c r="H6" s="26"/>
      <c r="I6" s="26"/>
      <c r="J6" s="26"/>
      <c r="K6" s="26"/>
      <c r="L6" s="26"/>
      <c r="M6" s="26"/>
      <c r="N6" s="26"/>
      <c r="O6" s="26"/>
      <c r="P6" s="26"/>
      <c r="Q6" s="26"/>
      <c r="R6" s="26"/>
    </row>
    <row r="7" spans="2:25" ht="18.75" x14ac:dyDescent="0.3">
      <c r="B7" s="26"/>
      <c r="C7" s="26"/>
      <c r="D7" s="26"/>
      <c r="E7" s="26"/>
      <c r="F7" s="26"/>
      <c r="G7" s="26"/>
      <c r="H7" s="26"/>
      <c r="I7" s="26"/>
      <c r="J7" s="26"/>
      <c r="K7" s="26"/>
      <c r="L7" s="26"/>
      <c r="M7" s="26"/>
      <c r="N7" s="26"/>
      <c r="O7" s="26"/>
      <c r="P7" s="26"/>
      <c r="Q7" s="26"/>
      <c r="R7" s="26"/>
    </row>
    <row r="8" spans="2:25" ht="18.75" x14ac:dyDescent="0.3">
      <c r="B8" s="26"/>
      <c r="C8" s="26"/>
      <c r="D8" s="26"/>
      <c r="E8" s="26"/>
      <c r="F8" s="26"/>
      <c r="G8" s="26"/>
      <c r="H8" s="26"/>
      <c r="I8" s="26"/>
      <c r="J8" s="26"/>
      <c r="K8" s="26"/>
      <c r="L8" s="26"/>
      <c r="M8" s="26"/>
      <c r="N8" s="26"/>
      <c r="O8" s="26"/>
      <c r="P8" s="26"/>
      <c r="Q8" s="26"/>
      <c r="R8" s="26"/>
    </row>
    <row r="9" spans="2:25" ht="18.75" x14ac:dyDescent="0.3">
      <c r="B9" s="26"/>
      <c r="C9" s="26"/>
      <c r="D9" s="26"/>
      <c r="E9" s="26"/>
      <c r="F9" s="26"/>
      <c r="G9" s="26"/>
      <c r="H9" s="26"/>
      <c r="I9" s="26"/>
      <c r="J9" s="26"/>
      <c r="K9" s="26"/>
      <c r="L9" s="26"/>
      <c r="M9" s="26"/>
      <c r="N9" s="26"/>
      <c r="O9" s="26"/>
      <c r="P9" s="26"/>
      <c r="Q9" s="26"/>
      <c r="R9" s="26"/>
    </row>
    <row r="10" spans="2:25" ht="18.75" x14ac:dyDescent="0.3">
      <c r="B10" s="26"/>
      <c r="C10" s="26"/>
      <c r="D10" s="26"/>
      <c r="E10" s="26"/>
      <c r="F10" s="26"/>
      <c r="G10" s="26"/>
      <c r="H10" s="26"/>
      <c r="I10" s="26"/>
      <c r="J10" s="26"/>
      <c r="K10" s="26"/>
      <c r="L10" s="26"/>
      <c r="M10" s="26"/>
      <c r="N10" s="26"/>
      <c r="O10" s="26"/>
      <c r="P10" s="26"/>
      <c r="Q10" s="26"/>
      <c r="R10" s="26"/>
    </row>
    <row r="11" spans="2:25" ht="15.75" thickBot="1" x14ac:dyDescent="0.3"/>
    <row r="12" spans="2:25" s="24" customFormat="1" x14ac:dyDescent="0.25">
      <c r="B12" s="28" t="s">
        <v>72</v>
      </c>
      <c r="C12" s="29"/>
      <c r="D12" s="30"/>
      <c r="E12" s="31"/>
      <c r="F12" s="29"/>
      <c r="G12" s="30"/>
      <c r="H12" s="31"/>
      <c r="I12" s="75"/>
      <c r="J12" s="105" t="s">
        <v>73</v>
      </c>
      <c r="K12" s="105" t="s">
        <v>74</v>
      </c>
      <c r="L12" s="105" t="s">
        <v>75</v>
      </c>
      <c r="M12" s="105" t="s">
        <v>76</v>
      </c>
      <c r="N12" s="105" t="s">
        <v>77</v>
      </c>
      <c r="O12" s="105" t="s">
        <v>78</v>
      </c>
      <c r="P12" s="106" t="s">
        <v>79</v>
      </c>
      <c r="Q12" s="32"/>
      <c r="R12" s="33"/>
    </row>
    <row r="13" spans="2:25" s="24" customFormat="1" x14ac:dyDescent="0.25">
      <c r="B13" s="84" t="s">
        <v>80</v>
      </c>
      <c r="C13" s="38"/>
      <c r="D13" s="39"/>
      <c r="E13" s="40"/>
      <c r="F13" s="38"/>
      <c r="G13" s="39"/>
      <c r="H13" s="40"/>
      <c r="I13" s="77"/>
      <c r="J13" s="107" t="s">
        <v>81</v>
      </c>
      <c r="K13" s="107" t="s">
        <v>82</v>
      </c>
      <c r="L13" s="107" t="s">
        <v>83</v>
      </c>
      <c r="M13" s="107" t="s">
        <v>84</v>
      </c>
      <c r="N13" s="107" t="s">
        <v>85</v>
      </c>
      <c r="O13" s="107" t="s">
        <v>86</v>
      </c>
      <c r="P13" s="108" t="s">
        <v>87</v>
      </c>
      <c r="Q13" s="34" t="s">
        <v>88</v>
      </c>
      <c r="R13" s="35"/>
    </row>
    <row r="14" spans="2:25" s="24" customFormat="1" x14ac:dyDescent="0.25">
      <c r="B14" s="36"/>
      <c r="C14" s="129" t="s">
        <v>89</v>
      </c>
      <c r="D14" s="130"/>
      <c r="E14" s="131"/>
      <c r="F14" s="129" t="s">
        <v>90</v>
      </c>
      <c r="G14" s="130"/>
      <c r="H14" s="131"/>
      <c r="I14" s="76"/>
      <c r="J14" s="3">
        <v>63</v>
      </c>
      <c r="K14" s="3">
        <v>80</v>
      </c>
      <c r="L14" s="3">
        <v>100</v>
      </c>
      <c r="M14" s="3">
        <v>125</v>
      </c>
      <c r="N14" s="3">
        <v>160</v>
      </c>
      <c r="O14" s="3">
        <v>200</v>
      </c>
      <c r="P14" s="109">
        <v>250</v>
      </c>
      <c r="Q14" s="34" t="s">
        <v>91</v>
      </c>
      <c r="R14" s="35"/>
    </row>
    <row r="15" spans="2:25" s="24" customFormat="1" x14ac:dyDescent="0.25">
      <c r="B15" s="36"/>
      <c r="C15" s="65" t="s">
        <v>92</v>
      </c>
      <c r="D15" s="27" t="s">
        <v>92</v>
      </c>
      <c r="E15" s="66" t="s">
        <v>92</v>
      </c>
      <c r="F15" s="65" t="s">
        <v>92</v>
      </c>
      <c r="G15" s="27" t="s">
        <v>92</v>
      </c>
      <c r="H15" s="66" t="s">
        <v>92</v>
      </c>
      <c r="I15" s="76" t="s">
        <v>93</v>
      </c>
      <c r="J15" s="3" t="s">
        <v>92</v>
      </c>
      <c r="K15" s="3" t="s">
        <v>92</v>
      </c>
      <c r="L15" s="3" t="s">
        <v>92</v>
      </c>
      <c r="M15" s="3" t="s">
        <v>92</v>
      </c>
      <c r="N15" s="3" t="s">
        <v>92</v>
      </c>
      <c r="O15" s="3" t="s">
        <v>92</v>
      </c>
      <c r="P15" s="109" t="s">
        <v>92</v>
      </c>
      <c r="Q15" s="34" t="s">
        <v>94</v>
      </c>
      <c r="R15" s="35"/>
    </row>
    <row r="16" spans="2:25" s="24" customFormat="1" x14ac:dyDescent="0.25">
      <c r="B16" s="36"/>
      <c r="C16" s="65"/>
      <c r="D16" s="27"/>
      <c r="E16" s="66"/>
      <c r="F16" s="65"/>
      <c r="G16" s="27"/>
      <c r="H16" s="66"/>
      <c r="I16" s="76"/>
      <c r="J16" s="3">
        <v>0.25</v>
      </c>
      <c r="K16" s="3">
        <v>0.25</v>
      </c>
      <c r="L16" s="3">
        <v>0.20399999999999999</v>
      </c>
      <c r="M16" s="3">
        <v>0.16300000000000001</v>
      </c>
      <c r="N16" s="3">
        <v>0.128</v>
      </c>
      <c r="O16" s="3">
        <v>9.1999999999999998E-2</v>
      </c>
      <c r="P16" s="109">
        <v>6.2E-2</v>
      </c>
      <c r="Q16" s="34"/>
      <c r="R16" s="35"/>
      <c r="U16" s="135"/>
      <c r="V16" s="135"/>
      <c r="W16" s="135"/>
      <c r="X16" s="135"/>
      <c r="Y16" s="135"/>
    </row>
    <row r="17" spans="2:25" s="24" customFormat="1" x14ac:dyDescent="0.25">
      <c r="B17" s="37" t="s">
        <v>95</v>
      </c>
      <c r="C17" s="38" t="s">
        <v>96</v>
      </c>
      <c r="D17" s="39" t="s">
        <v>97</v>
      </c>
      <c r="E17" s="40" t="s">
        <v>98</v>
      </c>
      <c r="F17" s="38" t="s">
        <v>96</v>
      </c>
      <c r="G17" s="39" t="s">
        <v>97</v>
      </c>
      <c r="H17" s="40" t="s">
        <v>98</v>
      </c>
      <c r="I17" s="77"/>
      <c r="J17" s="3">
        <v>0.25</v>
      </c>
      <c r="K17" s="3">
        <v>0.25</v>
      </c>
      <c r="L17" s="3">
        <v>0.25</v>
      </c>
      <c r="M17" s="3">
        <v>0.25</v>
      </c>
      <c r="N17" s="3">
        <v>0.25</v>
      </c>
      <c r="O17" s="3">
        <v>0.218</v>
      </c>
      <c r="P17" s="109">
        <v>0.17100000000000001</v>
      </c>
      <c r="Q17" s="67" t="s">
        <v>99</v>
      </c>
      <c r="R17" s="41"/>
      <c r="U17" s="135"/>
      <c r="V17" s="135"/>
      <c r="W17" s="135"/>
      <c r="X17" s="135"/>
      <c r="Y17" s="135"/>
    </row>
    <row r="18" spans="2:25" s="24" customFormat="1" x14ac:dyDescent="0.25">
      <c r="B18" s="36" t="s">
        <v>100</v>
      </c>
      <c r="C18" s="42">
        <v>0.129</v>
      </c>
      <c r="D18" s="78">
        <v>7.2999999999999995E-2</v>
      </c>
      <c r="E18" s="43">
        <f>SQRT(C18^2+D18^2)</f>
        <v>0.14822280526288795</v>
      </c>
      <c r="F18" s="42">
        <f t="shared" ref="F18:F26" si="0">+C18*Q18/1000</f>
        <v>0</v>
      </c>
      <c r="G18" s="78">
        <f t="shared" ref="G18:G26" si="1">+Q18*D18/1000</f>
        <v>0</v>
      </c>
      <c r="H18" s="43"/>
      <c r="I18" s="103">
        <v>359</v>
      </c>
      <c r="J18" s="110">
        <f>IF(J$14&lt;=$I18+3,+$Q18,"X")</f>
        <v>0</v>
      </c>
      <c r="K18" s="111">
        <f t="shared" ref="K18:P26" si="2">IF(K$14&lt;=$I18+3,+$Q18,"X")</f>
        <v>0</v>
      </c>
      <c r="L18" s="111">
        <f t="shared" si="2"/>
        <v>0</v>
      </c>
      <c r="M18" s="111">
        <f t="shared" si="2"/>
        <v>0</v>
      </c>
      <c r="N18" s="111">
        <f t="shared" si="2"/>
        <v>0</v>
      </c>
      <c r="O18" s="111">
        <f t="shared" si="2"/>
        <v>0</v>
      </c>
      <c r="P18" s="112">
        <f t="shared" si="2"/>
        <v>0</v>
      </c>
      <c r="Q18" s="73"/>
      <c r="R18" s="44" t="s">
        <v>100</v>
      </c>
      <c r="U18" s="135"/>
      <c r="V18" s="135"/>
      <c r="W18" s="135"/>
      <c r="X18" s="135"/>
      <c r="Y18" s="135"/>
    </row>
    <row r="19" spans="2:25" s="24" customFormat="1" x14ac:dyDescent="0.25">
      <c r="B19" s="36" t="s">
        <v>101</v>
      </c>
      <c r="C19" s="42">
        <v>0.20599999999999999</v>
      </c>
      <c r="D19" s="78">
        <v>7.9000000000000001E-2</v>
      </c>
      <c r="E19" s="43">
        <f t="shared" ref="E19:E24" si="3">SQRT(C19^2+D19^2)</f>
        <v>0.22062864727863424</v>
      </c>
      <c r="F19" s="42">
        <f t="shared" si="0"/>
        <v>0</v>
      </c>
      <c r="G19" s="78">
        <f t="shared" si="1"/>
        <v>0</v>
      </c>
      <c r="H19" s="43"/>
      <c r="I19" s="103">
        <v>272</v>
      </c>
      <c r="J19" s="113">
        <f t="shared" ref="J19:J26" si="4">IF(J$14&lt;=$I19+3,+$Q19,"X")</f>
        <v>0</v>
      </c>
      <c r="K19" s="114">
        <f t="shared" si="2"/>
        <v>0</v>
      </c>
      <c r="L19" s="114">
        <f t="shared" si="2"/>
        <v>0</v>
      </c>
      <c r="M19" s="114">
        <f t="shared" si="2"/>
        <v>0</v>
      </c>
      <c r="N19" s="114">
        <f t="shared" si="2"/>
        <v>0</v>
      </c>
      <c r="O19" s="114">
        <f t="shared" si="2"/>
        <v>0</v>
      </c>
      <c r="P19" s="115">
        <f t="shared" si="2"/>
        <v>0</v>
      </c>
      <c r="Q19" s="73"/>
      <c r="R19" s="44" t="s">
        <v>101</v>
      </c>
      <c r="U19" s="135"/>
      <c r="V19" s="135"/>
      <c r="W19" s="135"/>
      <c r="X19" s="135"/>
      <c r="Y19" s="135"/>
    </row>
    <row r="20" spans="2:25" s="24" customFormat="1" x14ac:dyDescent="0.25">
      <c r="B20" s="36" t="s">
        <v>102</v>
      </c>
      <c r="C20" s="42">
        <v>0.28100000000000003</v>
      </c>
      <c r="D20" s="78">
        <v>8.1000000000000003E-2</v>
      </c>
      <c r="E20" s="43">
        <f t="shared" si="3"/>
        <v>0.29244144713087439</v>
      </c>
      <c r="F20" s="42">
        <f t="shared" si="0"/>
        <v>0</v>
      </c>
      <c r="G20" s="78">
        <f t="shared" si="1"/>
        <v>0</v>
      </c>
      <c r="H20" s="43"/>
      <c r="I20" s="103">
        <v>243</v>
      </c>
      <c r="J20" s="113">
        <f t="shared" si="4"/>
        <v>0</v>
      </c>
      <c r="K20" s="114">
        <f t="shared" si="2"/>
        <v>0</v>
      </c>
      <c r="L20" s="114">
        <f t="shared" si="2"/>
        <v>0</v>
      </c>
      <c r="M20" s="114">
        <f t="shared" si="2"/>
        <v>0</v>
      </c>
      <c r="N20" s="114">
        <f t="shared" si="2"/>
        <v>0</v>
      </c>
      <c r="O20" s="114">
        <f t="shared" si="2"/>
        <v>0</v>
      </c>
      <c r="P20" s="115" t="str">
        <f t="shared" si="2"/>
        <v>X</v>
      </c>
      <c r="Q20" s="73"/>
      <c r="R20" s="44" t="s">
        <v>102</v>
      </c>
      <c r="U20" s="135"/>
      <c r="V20" s="135"/>
      <c r="W20" s="135"/>
      <c r="X20" s="135"/>
      <c r="Y20" s="135"/>
    </row>
    <row r="21" spans="2:25" s="24" customFormat="1" x14ac:dyDescent="0.25">
      <c r="B21" s="36" t="s">
        <v>103</v>
      </c>
      <c r="C21" s="42">
        <v>0.32</v>
      </c>
      <c r="D21" s="78">
        <v>8.2000000000000003E-2</v>
      </c>
      <c r="E21" s="43">
        <f t="shared" si="3"/>
        <v>0.33033921959101376</v>
      </c>
      <c r="F21" s="42">
        <f t="shared" si="0"/>
        <v>0</v>
      </c>
      <c r="G21" s="78">
        <f t="shared" si="1"/>
        <v>0</v>
      </c>
      <c r="H21" s="43"/>
      <c r="I21" s="103">
        <v>213</v>
      </c>
      <c r="J21" s="113">
        <f t="shared" si="4"/>
        <v>0</v>
      </c>
      <c r="K21" s="114">
        <f t="shared" si="2"/>
        <v>0</v>
      </c>
      <c r="L21" s="114">
        <f t="shared" si="2"/>
        <v>0</v>
      </c>
      <c r="M21" s="114">
        <f t="shared" si="2"/>
        <v>0</v>
      </c>
      <c r="N21" s="114">
        <f t="shared" si="2"/>
        <v>0</v>
      </c>
      <c r="O21" s="114">
        <f t="shared" si="2"/>
        <v>0</v>
      </c>
      <c r="P21" s="115" t="str">
        <f t="shared" si="2"/>
        <v>X</v>
      </c>
      <c r="Q21" s="73"/>
      <c r="R21" s="44" t="s">
        <v>103</v>
      </c>
      <c r="U21" s="135"/>
      <c r="V21" s="135"/>
      <c r="W21" s="135"/>
      <c r="X21" s="135"/>
      <c r="Y21" s="135"/>
    </row>
    <row r="22" spans="2:25" s="24" customFormat="1" x14ac:dyDescent="0.25">
      <c r="B22" s="36" t="s">
        <v>104</v>
      </c>
      <c r="C22" s="42">
        <v>0.443</v>
      </c>
      <c r="D22" s="78">
        <f>(D21+D23)/2</f>
        <v>8.3500000000000005E-2</v>
      </c>
      <c r="E22" s="43">
        <f>SQRT(C22^2+D22^2)</f>
        <v>0.45080067657447015</v>
      </c>
      <c r="F22" s="42">
        <f t="shared" si="0"/>
        <v>0</v>
      </c>
      <c r="G22" s="78">
        <f t="shared" si="1"/>
        <v>0</v>
      </c>
      <c r="H22" s="43"/>
      <c r="I22" s="103">
        <v>177</v>
      </c>
      <c r="J22" s="113">
        <f t="shared" si="4"/>
        <v>0</v>
      </c>
      <c r="K22" s="114">
        <f t="shared" si="2"/>
        <v>0</v>
      </c>
      <c r="L22" s="114">
        <f t="shared" si="2"/>
        <v>0</v>
      </c>
      <c r="M22" s="114">
        <f t="shared" si="2"/>
        <v>0</v>
      </c>
      <c r="N22" s="114">
        <f t="shared" si="2"/>
        <v>0</v>
      </c>
      <c r="O22" s="114" t="str">
        <f t="shared" si="2"/>
        <v>X</v>
      </c>
      <c r="P22" s="115" t="str">
        <f t="shared" si="2"/>
        <v>X</v>
      </c>
      <c r="Q22" s="73"/>
      <c r="R22" s="44" t="s">
        <v>104</v>
      </c>
      <c r="U22" s="135"/>
      <c r="V22" s="135"/>
      <c r="W22" s="135"/>
      <c r="X22" s="135"/>
      <c r="Y22" s="135"/>
    </row>
    <row r="23" spans="2:25" s="24" customFormat="1" x14ac:dyDescent="0.25">
      <c r="B23" s="36" t="s">
        <v>105</v>
      </c>
      <c r="C23" s="42">
        <v>0.64100000000000001</v>
      </c>
      <c r="D23" s="78">
        <v>8.5000000000000006E-2</v>
      </c>
      <c r="E23" s="43">
        <f t="shared" si="3"/>
        <v>0.64661116600318613</v>
      </c>
      <c r="F23" s="42">
        <f t="shared" si="0"/>
        <v>0</v>
      </c>
      <c r="G23" s="78">
        <f t="shared" si="1"/>
        <v>0</v>
      </c>
      <c r="H23" s="43"/>
      <c r="I23" s="103">
        <v>144</v>
      </c>
      <c r="J23" s="113">
        <f t="shared" si="4"/>
        <v>0</v>
      </c>
      <c r="K23" s="114">
        <f t="shared" si="2"/>
        <v>0</v>
      </c>
      <c r="L23" s="114">
        <f t="shared" si="2"/>
        <v>0</v>
      </c>
      <c r="M23" s="114">
        <f t="shared" si="2"/>
        <v>0</v>
      </c>
      <c r="N23" s="114" t="str">
        <f t="shared" si="2"/>
        <v>X</v>
      </c>
      <c r="O23" s="114" t="str">
        <f t="shared" si="2"/>
        <v>X</v>
      </c>
      <c r="P23" s="115" t="str">
        <f t="shared" si="2"/>
        <v>X</v>
      </c>
      <c r="Q23" s="73"/>
      <c r="R23" s="44" t="s">
        <v>105</v>
      </c>
      <c r="U23" s="135"/>
      <c r="V23" s="135"/>
      <c r="W23" s="135"/>
      <c r="X23" s="135"/>
      <c r="Y23" s="135"/>
    </row>
    <row r="24" spans="2:25" s="24" customFormat="1" x14ac:dyDescent="0.25">
      <c r="B24" s="36" t="s">
        <v>106</v>
      </c>
      <c r="C24" s="42">
        <v>0.86799999999999999</v>
      </c>
      <c r="D24" s="78">
        <v>0.10100000000000001</v>
      </c>
      <c r="E24" s="43">
        <f t="shared" si="3"/>
        <v>0.87385639552503136</v>
      </c>
      <c r="F24" s="42">
        <f t="shared" si="0"/>
        <v>0</v>
      </c>
      <c r="G24" s="78">
        <f t="shared" si="1"/>
        <v>0</v>
      </c>
      <c r="H24" s="43"/>
      <c r="I24" s="103">
        <v>120</v>
      </c>
      <c r="J24" s="113">
        <f t="shared" si="4"/>
        <v>0</v>
      </c>
      <c r="K24" s="114">
        <f t="shared" si="2"/>
        <v>0</v>
      </c>
      <c r="L24" s="114">
        <f t="shared" si="2"/>
        <v>0</v>
      </c>
      <c r="M24" s="114" t="str">
        <f t="shared" si="2"/>
        <v>X</v>
      </c>
      <c r="N24" s="114" t="str">
        <f t="shared" si="2"/>
        <v>X</v>
      </c>
      <c r="O24" s="114" t="str">
        <f t="shared" si="2"/>
        <v>X</v>
      </c>
      <c r="P24" s="115" t="str">
        <f t="shared" si="2"/>
        <v>X</v>
      </c>
      <c r="Q24" s="73"/>
      <c r="R24" s="44" t="s">
        <v>106</v>
      </c>
      <c r="U24" s="135"/>
      <c r="V24" s="135"/>
      <c r="W24" s="135"/>
      <c r="X24" s="135"/>
      <c r="Y24" s="135"/>
    </row>
    <row r="25" spans="2:25" s="24" customFormat="1" x14ac:dyDescent="0.25">
      <c r="B25" s="36" t="s">
        <v>107</v>
      </c>
      <c r="C25" s="42">
        <v>1.2</v>
      </c>
      <c r="D25" s="78">
        <v>9.4E-2</v>
      </c>
      <c r="E25" s="43">
        <f>SQRT(C25^2+D25^2)</f>
        <v>1.2036760361492622</v>
      </c>
      <c r="F25" s="42">
        <f t="shared" si="0"/>
        <v>0</v>
      </c>
      <c r="G25" s="78">
        <f t="shared" si="1"/>
        <v>0</v>
      </c>
      <c r="H25" s="43"/>
      <c r="I25" s="103">
        <v>100</v>
      </c>
      <c r="J25" s="113">
        <f t="shared" si="4"/>
        <v>0</v>
      </c>
      <c r="K25" s="114">
        <f t="shared" si="2"/>
        <v>0</v>
      </c>
      <c r="L25" s="114">
        <f t="shared" si="2"/>
        <v>0</v>
      </c>
      <c r="M25" s="114" t="str">
        <f t="shared" si="2"/>
        <v>X</v>
      </c>
      <c r="N25" s="114" t="str">
        <f t="shared" si="2"/>
        <v>X</v>
      </c>
      <c r="O25" s="114" t="str">
        <f t="shared" si="2"/>
        <v>X</v>
      </c>
      <c r="P25" s="115" t="str">
        <f t="shared" si="2"/>
        <v>X</v>
      </c>
      <c r="Q25" s="73"/>
      <c r="R25" s="44" t="s">
        <v>107</v>
      </c>
      <c r="U25" s="135"/>
      <c r="V25" s="135"/>
      <c r="W25" s="135"/>
      <c r="X25" s="135"/>
      <c r="Y25" s="135"/>
    </row>
    <row r="26" spans="2:25" s="24" customFormat="1" x14ac:dyDescent="0.25">
      <c r="B26" s="36" t="s">
        <v>108</v>
      </c>
      <c r="C26" s="42">
        <v>1.91</v>
      </c>
      <c r="D26" s="78">
        <v>9.6000000000000002E-2</v>
      </c>
      <c r="E26" s="43">
        <f>SQRT(C26^2+D26^2)</f>
        <v>1.9124110436828166</v>
      </c>
      <c r="F26" s="42">
        <f t="shared" si="0"/>
        <v>0</v>
      </c>
      <c r="G26" s="78">
        <f t="shared" si="1"/>
        <v>0</v>
      </c>
      <c r="H26" s="43"/>
      <c r="I26" s="103">
        <v>78</v>
      </c>
      <c r="J26" s="113">
        <f t="shared" si="4"/>
        <v>0</v>
      </c>
      <c r="K26" s="114">
        <f t="shared" si="2"/>
        <v>0</v>
      </c>
      <c r="L26" s="114" t="str">
        <f t="shared" si="2"/>
        <v>X</v>
      </c>
      <c r="M26" s="114" t="str">
        <f t="shared" si="2"/>
        <v>X</v>
      </c>
      <c r="N26" s="114" t="str">
        <f t="shared" si="2"/>
        <v>X</v>
      </c>
      <c r="O26" s="114" t="str">
        <f t="shared" si="2"/>
        <v>X</v>
      </c>
      <c r="P26" s="115" t="str">
        <f t="shared" si="2"/>
        <v>X</v>
      </c>
      <c r="Q26" s="73"/>
      <c r="R26" s="44" t="s">
        <v>108</v>
      </c>
      <c r="U26" s="135"/>
      <c r="V26" s="135"/>
      <c r="W26" s="135"/>
      <c r="X26" s="135"/>
      <c r="Y26" s="135"/>
    </row>
    <row r="27" spans="2:25" s="24" customFormat="1" x14ac:dyDescent="0.25">
      <c r="B27" s="36"/>
      <c r="C27" s="42"/>
      <c r="D27" s="78"/>
      <c r="E27" s="43"/>
      <c r="F27" s="42"/>
      <c r="G27" s="78"/>
      <c r="H27" s="43"/>
      <c r="I27" s="103"/>
      <c r="J27" s="113"/>
      <c r="K27" s="114"/>
      <c r="L27" s="116"/>
      <c r="M27" s="116"/>
      <c r="N27" s="116"/>
      <c r="O27" s="116"/>
      <c r="P27" s="117"/>
      <c r="Q27" s="73"/>
      <c r="R27" s="44"/>
      <c r="U27" s="135"/>
      <c r="V27" s="135"/>
      <c r="W27" s="135"/>
      <c r="X27" s="135"/>
      <c r="Y27" s="135"/>
    </row>
    <row r="28" spans="2:25" s="24" customFormat="1" x14ac:dyDescent="0.25">
      <c r="B28" s="36" t="s">
        <v>109</v>
      </c>
      <c r="C28" s="42">
        <v>0.107</v>
      </c>
      <c r="D28" s="78">
        <v>6.8000000000000005E-2</v>
      </c>
      <c r="E28" s="43">
        <f t="shared" ref="E28:E36" si="5">SQRT(C28^2+D28^2)</f>
        <v>0.12677933585565118</v>
      </c>
      <c r="F28" s="42">
        <f t="shared" ref="F28:F34" si="6">+C28*Q28/1000</f>
        <v>0</v>
      </c>
      <c r="G28" s="78">
        <f t="shared" ref="G28:G34" si="7">+Q28*D28/1000</f>
        <v>0</v>
      </c>
      <c r="H28" s="43"/>
      <c r="I28" s="103">
        <v>393</v>
      </c>
      <c r="J28" s="113">
        <f>IF(J$14&lt;=$I28+3,+$Q28,"X")</f>
        <v>0</v>
      </c>
      <c r="K28" s="114">
        <f t="shared" ref="K28:P34" si="8">IF(K$14&lt;=$I28+3,+$Q28,"X")</f>
        <v>0</v>
      </c>
      <c r="L28" s="114">
        <f t="shared" si="8"/>
        <v>0</v>
      </c>
      <c r="M28" s="114">
        <f t="shared" si="8"/>
        <v>0</v>
      </c>
      <c r="N28" s="114">
        <f t="shared" si="8"/>
        <v>0</v>
      </c>
      <c r="O28" s="114">
        <f t="shared" si="8"/>
        <v>0</v>
      </c>
      <c r="P28" s="115">
        <f t="shared" si="8"/>
        <v>0</v>
      </c>
      <c r="Q28" s="73"/>
      <c r="R28" s="44" t="s">
        <v>109</v>
      </c>
      <c r="U28" s="135"/>
      <c r="V28" s="135"/>
      <c r="W28" s="135"/>
      <c r="X28" s="135"/>
      <c r="Y28" s="135"/>
    </row>
    <row r="29" spans="2:25" s="24" customFormat="1" x14ac:dyDescent="0.25">
      <c r="B29" s="36" t="s">
        <v>110</v>
      </c>
      <c r="C29" s="42">
        <v>0.125</v>
      </c>
      <c r="D29" s="78">
        <v>6.8000000000000005E-2</v>
      </c>
      <c r="E29" s="43">
        <f t="shared" si="5"/>
        <v>0.14229898102235308</v>
      </c>
      <c r="F29" s="42">
        <f t="shared" si="6"/>
        <v>0</v>
      </c>
      <c r="G29" s="78">
        <f t="shared" si="7"/>
        <v>0</v>
      </c>
      <c r="H29" s="43"/>
      <c r="I29" s="103">
        <v>348</v>
      </c>
      <c r="J29" s="113">
        <f t="shared" ref="J29:J34" si="9">IF(J$14&lt;=$I29+3,+$Q29,"X")</f>
        <v>0</v>
      </c>
      <c r="K29" s="114">
        <f t="shared" si="8"/>
        <v>0</v>
      </c>
      <c r="L29" s="114">
        <f t="shared" si="8"/>
        <v>0</v>
      </c>
      <c r="M29" s="114">
        <f t="shared" si="8"/>
        <v>0</v>
      </c>
      <c r="N29" s="114">
        <f t="shared" si="8"/>
        <v>0</v>
      </c>
      <c r="O29" s="114">
        <f t="shared" si="8"/>
        <v>0</v>
      </c>
      <c r="P29" s="115">
        <f t="shared" si="8"/>
        <v>0</v>
      </c>
      <c r="Q29" s="73"/>
      <c r="R29" s="44" t="s">
        <v>110</v>
      </c>
      <c r="U29" s="135"/>
      <c r="V29" s="135"/>
      <c r="W29" s="135"/>
      <c r="X29" s="135"/>
      <c r="Y29" s="135"/>
    </row>
    <row r="30" spans="2:25" s="24" customFormat="1" x14ac:dyDescent="0.25">
      <c r="B30" s="36" t="s">
        <v>111</v>
      </c>
      <c r="C30" s="42">
        <v>0.152</v>
      </c>
      <c r="D30" s="78">
        <v>6.9000000000000006E-2</v>
      </c>
      <c r="E30" s="43">
        <v>0.1669281282468596</v>
      </c>
      <c r="F30" s="42">
        <f t="shared" ref="F30" si="10">+C30*Q30/1000</f>
        <v>0</v>
      </c>
      <c r="G30" s="78">
        <f t="shared" ref="G30" si="11">+Q30*D30/1000</f>
        <v>0</v>
      </c>
      <c r="H30" s="43"/>
      <c r="I30" s="103">
        <v>307</v>
      </c>
      <c r="J30" s="113">
        <f t="shared" si="9"/>
        <v>0</v>
      </c>
      <c r="K30" s="114">
        <f t="shared" si="8"/>
        <v>0</v>
      </c>
      <c r="L30" s="114">
        <f t="shared" si="8"/>
        <v>0</v>
      </c>
      <c r="M30" s="114">
        <f t="shared" si="8"/>
        <v>0</v>
      </c>
      <c r="N30" s="114">
        <f t="shared" si="8"/>
        <v>0</v>
      </c>
      <c r="O30" s="114">
        <f t="shared" si="8"/>
        <v>0</v>
      </c>
      <c r="P30" s="115">
        <f t="shared" si="8"/>
        <v>0</v>
      </c>
      <c r="Q30" s="73"/>
      <c r="R30" s="44" t="s">
        <v>111</v>
      </c>
      <c r="U30" s="135"/>
      <c r="V30" s="135"/>
      <c r="W30" s="135"/>
      <c r="X30" s="135"/>
      <c r="Y30" s="135"/>
    </row>
    <row r="31" spans="2:25" s="24" customFormat="1" x14ac:dyDescent="0.25">
      <c r="B31" s="36" t="s">
        <v>112</v>
      </c>
      <c r="C31" s="42">
        <v>0.19400000000000001</v>
      </c>
      <c r="D31" s="78">
        <v>6.9000000000000006E-2</v>
      </c>
      <c r="E31" s="43">
        <f t="shared" si="5"/>
        <v>0.20590531804691203</v>
      </c>
      <c r="F31" s="42">
        <f t="shared" si="6"/>
        <v>0</v>
      </c>
      <c r="G31" s="78">
        <f t="shared" si="7"/>
        <v>0</v>
      </c>
      <c r="H31" s="43"/>
      <c r="I31" s="103">
        <v>272</v>
      </c>
      <c r="J31" s="113">
        <f t="shared" si="9"/>
        <v>0</v>
      </c>
      <c r="K31" s="114">
        <f t="shared" si="8"/>
        <v>0</v>
      </c>
      <c r="L31" s="114">
        <f t="shared" si="8"/>
        <v>0</v>
      </c>
      <c r="M31" s="114">
        <f t="shared" si="8"/>
        <v>0</v>
      </c>
      <c r="N31" s="114">
        <f t="shared" si="8"/>
        <v>0</v>
      </c>
      <c r="O31" s="114">
        <f t="shared" si="8"/>
        <v>0</v>
      </c>
      <c r="P31" s="115">
        <f t="shared" si="8"/>
        <v>0</v>
      </c>
      <c r="Q31" s="73"/>
      <c r="R31" s="44" t="s">
        <v>112</v>
      </c>
      <c r="U31" s="135"/>
      <c r="V31" s="135"/>
      <c r="W31" s="135"/>
      <c r="X31" s="135"/>
      <c r="Y31" s="135"/>
    </row>
    <row r="32" spans="2:25" s="24" customFormat="1" x14ac:dyDescent="0.25">
      <c r="B32" s="36" t="s">
        <v>113</v>
      </c>
      <c r="C32" s="42">
        <v>0.26800000000000002</v>
      </c>
      <c r="D32" s="78">
        <v>7.1999999999999995E-2</v>
      </c>
      <c r="E32" s="43">
        <f t="shared" si="5"/>
        <v>0.27750315313523916</v>
      </c>
      <c r="F32" s="42">
        <f t="shared" si="6"/>
        <v>0</v>
      </c>
      <c r="G32" s="78">
        <f t="shared" si="7"/>
        <v>0</v>
      </c>
      <c r="H32" s="43"/>
      <c r="I32" s="103">
        <v>227</v>
      </c>
      <c r="J32" s="113">
        <f t="shared" si="9"/>
        <v>0</v>
      </c>
      <c r="K32" s="114">
        <f t="shared" si="8"/>
        <v>0</v>
      </c>
      <c r="L32" s="114">
        <f t="shared" si="8"/>
        <v>0</v>
      </c>
      <c r="M32" s="114">
        <f t="shared" si="8"/>
        <v>0</v>
      </c>
      <c r="N32" s="114">
        <f t="shared" si="8"/>
        <v>0</v>
      </c>
      <c r="O32" s="114">
        <f t="shared" si="8"/>
        <v>0</v>
      </c>
      <c r="P32" s="115" t="str">
        <f t="shared" si="8"/>
        <v>X</v>
      </c>
      <c r="Q32" s="73"/>
      <c r="R32" s="44" t="s">
        <v>113</v>
      </c>
      <c r="U32" s="135"/>
      <c r="V32" s="135"/>
      <c r="W32" s="135"/>
      <c r="X32" s="135"/>
      <c r="Y32" s="135"/>
    </row>
    <row r="33" spans="2:25" s="24" customFormat="1" x14ac:dyDescent="0.25">
      <c r="B33" s="36" t="s">
        <v>114</v>
      </c>
      <c r="C33" s="42">
        <v>0.38700000000000001</v>
      </c>
      <c r="D33" s="78">
        <v>8.5000000000000006E-2</v>
      </c>
      <c r="E33" s="43">
        <f t="shared" si="5"/>
        <v>0.39622468373386333</v>
      </c>
      <c r="F33" s="42">
        <f t="shared" si="6"/>
        <v>0</v>
      </c>
      <c r="G33" s="78">
        <f t="shared" si="7"/>
        <v>0</v>
      </c>
      <c r="H33" s="43"/>
      <c r="I33" s="103">
        <v>182</v>
      </c>
      <c r="J33" s="113">
        <f t="shared" si="9"/>
        <v>0</v>
      </c>
      <c r="K33" s="114">
        <f t="shared" si="8"/>
        <v>0</v>
      </c>
      <c r="L33" s="114">
        <f t="shared" si="8"/>
        <v>0</v>
      </c>
      <c r="M33" s="114">
        <f t="shared" si="8"/>
        <v>0</v>
      </c>
      <c r="N33" s="114">
        <f t="shared" si="8"/>
        <v>0</v>
      </c>
      <c r="O33" s="114" t="str">
        <f t="shared" si="8"/>
        <v>X</v>
      </c>
      <c r="P33" s="115" t="str">
        <f t="shared" si="8"/>
        <v>X</v>
      </c>
      <c r="Q33" s="73"/>
      <c r="R33" s="44" t="s">
        <v>114</v>
      </c>
      <c r="U33" s="135"/>
      <c r="V33" s="135"/>
      <c r="W33" s="135"/>
      <c r="X33" s="135"/>
      <c r="Y33" s="135"/>
    </row>
    <row r="34" spans="2:25" s="24" customFormat="1" x14ac:dyDescent="0.25">
      <c r="B34" s="36" t="s">
        <v>115</v>
      </c>
      <c r="C34" s="42">
        <v>0.52400000000000002</v>
      </c>
      <c r="D34" s="78">
        <v>0.1</v>
      </c>
      <c r="E34" s="43">
        <f t="shared" si="5"/>
        <v>0.53345665240954676</v>
      </c>
      <c r="F34" s="42">
        <f t="shared" si="6"/>
        <v>0</v>
      </c>
      <c r="G34" s="78">
        <f t="shared" si="7"/>
        <v>0</v>
      </c>
      <c r="H34" s="43"/>
      <c r="I34" s="103">
        <v>154</v>
      </c>
      <c r="J34" s="113">
        <f t="shared" si="9"/>
        <v>0</v>
      </c>
      <c r="K34" s="114">
        <f t="shared" si="8"/>
        <v>0</v>
      </c>
      <c r="L34" s="114">
        <f t="shared" si="8"/>
        <v>0</v>
      </c>
      <c r="M34" s="114">
        <f t="shared" si="8"/>
        <v>0</v>
      </c>
      <c r="N34" s="114" t="str">
        <f t="shared" si="8"/>
        <v>X</v>
      </c>
      <c r="O34" s="114" t="str">
        <f t="shared" si="8"/>
        <v>X</v>
      </c>
      <c r="P34" s="115" t="str">
        <f t="shared" si="8"/>
        <v>X</v>
      </c>
      <c r="Q34" s="73"/>
      <c r="R34" s="44" t="s">
        <v>115</v>
      </c>
      <c r="U34" s="135"/>
      <c r="V34" s="135"/>
      <c r="W34" s="135"/>
      <c r="X34" s="135"/>
      <c r="Y34" s="135"/>
    </row>
    <row r="35" spans="2:25" s="24" customFormat="1" x14ac:dyDescent="0.25">
      <c r="B35" s="36" t="s">
        <v>116</v>
      </c>
      <c r="C35" s="42">
        <v>0.72699999999999998</v>
      </c>
      <c r="D35" s="78">
        <v>9.4E-2</v>
      </c>
      <c r="E35" s="43">
        <f t="shared" si="5"/>
        <v>0.73305183991311273</v>
      </c>
      <c r="F35" s="42">
        <f>+C35*Q35/1000</f>
        <v>0</v>
      </c>
      <c r="G35" s="78">
        <f>+Q35*D35/1000</f>
        <v>0</v>
      </c>
      <c r="H35" s="43"/>
      <c r="I35" s="103">
        <v>128</v>
      </c>
      <c r="J35" s="113">
        <f t="shared" ref="J35:P36" si="12">IF(J$14&lt;=$I35+3,+$Q35,"X")</f>
        <v>0</v>
      </c>
      <c r="K35" s="114">
        <f t="shared" si="12"/>
        <v>0</v>
      </c>
      <c r="L35" s="114">
        <f t="shared" si="12"/>
        <v>0</v>
      </c>
      <c r="M35" s="114">
        <f t="shared" si="12"/>
        <v>0</v>
      </c>
      <c r="N35" s="114" t="str">
        <f t="shared" si="12"/>
        <v>X</v>
      </c>
      <c r="O35" s="114" t="str">
        <f t="shared" si="12"/>
        <v>X</v>
      </c>
      <c r="P35" s="115" t="str">
        <f t="shared" si="12"/>
        <v>X</v>
      </c>
      <c r="Q35" s="73"/>
      <c r="R35" s="44" t="s">
        <v>116</v>
      </c>
      <c r="U35" s="135"/>
      <c r="V35" s="135"/>
      <c r="W35" s="135"/>
      <c r="X35" s="135"/>
      <c r="Y35" s="135"/>
    </row>
    <row r="36" spans="2:25" s="24" customFormat="1" x14ac:dyDescent="0.25">
      <c r="B36" s="45" t="s">
        <v>117</v>
      </c>
      <c r="C36" s="46">
        <v>1.1499999999999999</v>
      </c>
      <c r="D36" s="47">
        <v>9.7000000000000003E-2</v>
      </c>
      <c r="E36" s="48">
        <f t="shared" si="5"/>
        <v>1.1540836191541755</v>
      </c>
      <c r="F36" s="46">
        <f>+C36*Q36/1000</f>
        <v>0</v>
      </c>
      <c r="G36" s="47">
        <f>+Q36*D36/1000</f>
        <v>0</v>
      </c>
      <c r="H36" s="48"/>
      <c r="I36" s="104">
        <v>99</v>
      </c>
      <c r="J36" s="118">
        <f t="shared" si="12"/>
        <v>0</v>
      </c>
      <c r="K36" s="119">
        <f t="shared" si="12"/>
        <v>0</v>
      </c>
      <c r="L36" s="119">
        <f t="shared" si="12"/>
        <v>0</v>
      </c>
      <c r="M36" s="119" t="str">
        <f t="shared" si="12"/>
        <v>X</v>
      </c>
      <c r="N36" s="119" t="str">
        <f t="shared" si="12"/>
        <v>X</v>
      </c>
      <c r="O36" s="119" t="str">
        <f t="shared" si="12"/>
        <v>X</v>
      </c>
      <c r="P36" s="120" t="str">
        <f t="shared" si="12"/>
        <v>X</v>
      </c>
      <c r="Q36" s="73"/>
      <c r="R36" s="49" t="s">
        <v>117</v>
      </c>
    </row>
    <row r="37" spans="2:25" x14ac:dyDescent="0.25">
      <c r="B37" s="50"/>
      <c r="I37" s="79"/>
      <c r="J37" s="3"/>
      <c r="K37" s="3"/>
      <c r="L37" s="3"/>
      <c r="M37" s="3"/>
      <c r="N37" s="3"/>
      <c r="O37" s="3"/>
      <c r="P37" s="109"/>
      <c r="R37" s="44"/>
    </row>
    <row r="38" spans="2:25" x14ac:dyDescent="0.25">
      <c r="B38" s="51" t="s">
        <v>118</v>
      </c>
      <c r="C38" s="80"/>
      <c r="D38" s="80"/>
      <c r="E38" s="80"/>
      <c r="F38" s="81">
        <f>SUM(F18:F37)</f>
        <v>0</v>
      </c>
      <c r="G38" s="81">
        <f>SUM(G18:G37)</f>
        <v>0</v>
      </c>
      <c r="H38" s="81">
        <f>SQRT(F38^2+G38^2)</f>
        <v>0</v>
      </c>
      <c r="I38" s="79"/>
      <c r="J38" s="3" t="str">
        <f>IF($H$38&lt;=J16,"OK","niet OK")</f>
        <v>OK</v>
      </c>
      <c r="K38" s="3" t="str">
        <f t="shared" ref="K38:P38" si="13">IF($H$38&lt;=K16,"OK","niet OK")</f>
        <v>OK</v>
      </c>
      <c r="L38" s="3" t="str">
        <f t="shared" si="13"/>
        <v>OK</v>
      </c>
      <c r="M38" s="3" t="str">
        <f t="shared" si="13"/>
        <v>OK</v>
      </c>
      <c r="N38" s="3" t="str">
        <f t="shared" si="13"/>
        <v>OK</v>
      </c>
      <c r="O38" s="3" t="str">
        <f t="shared" si="13"/>
        <v>OK</v>
      </c>
      <c r="P38" s="3" t="str">
        <f t="shared" si="13"/>
        <v>OK</v>
      </c>
      <c r="Q38" s="68" t="s">
        <v>119</v>
      </c>
      <c r="R38" s="52"/>
    </row>
    <row r="39" spans="2:25" x14ac:dyDescent="0.25">
      <c r="B39" s="50"/>
      <c r="C39"/>
      <c r="D39"/>
      <c r="E39"/>
      <c r="F39"/>
      <c r="G39"/>
      <c r="H39"/>
      <c r="I39" s="79"/>
      <c r="J39" s="3" t="str">
        <f>IF($H$38&lt;=J17,"OK","niet OK")</f>
        <v>OK</v>
      </c>
      <c r="K39" s="3" t="str">
        <f t="shared" ref="K39:P39" si="14">IF($H$38&lt;=K17,"OK","niet OK")</f>
        <v>OK</v>
      </c>
      <c r="L39" s="3" t="str">
        <f t="shared" si="14"/>
        <v>OK</v>
      </c>
      <c r="M39" s="3" t="str">
        <f t="shared" si="14"/>
        <v>OK</v>
      </c>
      <c r="N39" s="3" t="str">
        <f t="shared" si="14"/>
        <v>OK</v>
      </c>
      <c r="O39" s="3" t="str">
        <f t="shared" si="14"/>
        <v>OK</v>
      </c>
      <c r="P39" s="109" t="str">
        <f t="shared" si="14"/>
        <v>OK</v>
      </c>
      <c r="Q39" s="68" t="s">
        <v>120</v>
      </c>
      <c r="R39" s="52"/>
    </row>
    <row r="40" spans="2:25" x14ac:dyDescent="0.25">
      <c r="B40" s="50"/>
      <c r="C40" s="82"/>
      <c r="D40" s="82"/>
      <c r="E40" s="78"/>
      <c r="F40" s="78"/>
      <c r="G40" s="78"/>
      <c r="H40" s="78"/>
      <c r="I40" s="79"/>
      <c r="J40" s="3" t="str">
        <f t="shared" ref="J40:O40" si="15">IF(AND(J47="OK",J48="OK",J49="OK",J50="OK",J51="OK",J52="OK",J53="OK",J54="OK",J55="OK",J56="OK",J57="OK",J58="OK",J59="OK",J60="OK",J61="OK",J62="OK",J63="OK"),"OK","niet OK")</f>
        <v>OK</v>
      </c>
      <c r="K40" s="3" t="str">
        <f t="shared" si="15"/>
        <v>OK</v>
      </c>
      <c r="L40" s="3" t="str">
        <f t="shared" si="15"/>
        <v>OK</v>
      </c>
      <c r="M40" s="3" t="str">
        <f t="shared" si="15"/>
        <v>OK</v>
      </c>
      <c r="N40" s="3" t="str">
        <f t="shared" si="15"/>
        <v>OK</v>
      </c>
      <c r="O40" s="3" t="str">
        <f t="shared" si="15"/>
        <v>OK</v>
      </c>
      <c r="P40" s="109" t="str">
        <f t="shared" ref="P40" si="16">IF(AND(P47="OK",P48="OK",P49="OK",P50="OK",P51="OK",P52="OK",P53="OK",P54="OK",P55="OK",P56="OK",P57="OK",P58="OK",P59="OK",P60="OK",P61="OK",P62="OK",P63="OK"),"OK","niet OK")</f>
        <v>OK</v>
      </c>
      <c r="Q40" s="69" t="s">
        <v>121</v>
      </c>
      <c r="R40" s="53"/>
    </row>
    <row r="41" spans="2:25" ht="18.75" x14ac:dyDescent="0.3">
      <c r="B41" s="50"/>
      <c r="C41" s="82"/>
      <c r="D41" s="82"/>
      <c r="E41" s="78"/>
      <c r="F41" s="78"/>
      <c r="G41" s="78"/>
      <c r="H41" s="78"/>
      <c r="I41" s="79"/>
      <c r="J41" s="10" t="str">
        <f>IF(AND(J38="OK",J40="OK"),"JA","NEE")</f>
        <v>JA</v>
      </c>
      <c r="K41" s="10" t="str">
        <f t="shared" ref="K41:P41" si="17">IF(AND(K38="OK",K40="OK"),"JA","NEE")</f>
        <v>JA</v>
      </c>
      <c r="L41" s="10" t="str">
        <f t="shared" si="17"/>
        <v>JA</v>
      </c>
      <c r="M41" s="10" t="str">
        <f t="shared" si="17"/>
        <v>JA</v>
      </c>
      <c r="N41" s="10" t="str">
        <f t="shared" si="17"/>
        <v>JA</v>
      </c>
      <c r="O41" s="10" t="str">
        <f t="shared" si="17"/>
        <v>JA</v>
      </c>
      <c r="P41" s="10" t="str">
        <f t="shared" si="17"/>
        <v>JA</v>
      </c>
      <c r="Q41" s="71" t="s">
        <v>122</v>
      </c>
      <c r="R41" s="70"/>
    </row>
    <row r="42" spans="2:25" ht="19.5" thickBot="1" x14ac:dyDescent="0.35">
      <c r="B42" s="54"/>
      <c r="C42" s="55"/>
      <c r="D42" s="55"/>
      <c r="E42" s="55"/>
      <c r="F42" s="55"/>
      <c r="G42" s="55"/>
      <c r="H42" s="55"/>
      <c r="I42" s="83"/>
      <c r="J42" s="121" t="str">
        <f>IF(AND(J39="OK",J40="OK"),"JA","NEE")</f>
        <v>JA</v>
      </c>
      <c r="K42" s="121" t="str">
        <f t="shared" ref="K42:P42" si="18">IF(AND(K39="OK",K40="OK"),"JA","NEE")</f>
        <v>JA</v>
      </c>
      <c r="L42" s="121" t="str">
        <f t="shared" si="18"/>
        <v>JA</v>
      </c>
      <c r="M42" s="121" t="str">
        <f t="shared" si="18"/>
        <v>JA</v>
      </c>
      <c r="N42" s="121" t="str">
        <f t="shared" si="18"/>
        <v>JA</v>
      </c>
      <c r="O42" s="121" t="str">
        <f t="shared" si="18"/>
        <v>JA</v>
      </c>
      <c r="P42" s="121" t="str">
        <f t="shared" si="18"/>
        <v>JA</v>
      </c>
      <c r="Q42" s="72" t="s">
        <v>123</v>
      </c>
      <c r="R42" s="56"/>
    </row>
    <row r="43" spans="2:25" x14ac:dyDescent="0.25">
      <c r="J43" s="57"/>
      <c r="K43" s="57"/>
      <c r="L43" s="57"/>
      <c r="M43" s="57"/>
      <c r="N43" s="57"/>
      <c r="O43" s="57"/>
      <c r="P43" s="57"/>
      <c r="Q43" s="57"/>
      <c r="R43" s="57"/>
    </row>
    <row r="44" spans="2:25" x14ac:dyDescent="0.25">
      <c r="J44" s="57"/>
      <c r="K44" s="57"/>
      <c r="L44" s="57"/>
      <c r="M44" s="57"/>
      <c r="N44" s="57"/>
      <c r="O44" s="57"/>
      <c r="P44" s="57"/>
      <c r="Q44" s="57"/>
      <c r="R44" s="57"/>
    </row>
    <row r="45" spans="2:25" hidden="1" x14ac:dyDescent="0.25">
      <c r="J45" s="57"/>
      <c r="K45" s="57"/>
      <c r="L45" s="57"/>
      <c r="M45" s="57"/>
      <c r="N45" s="57"/>
      <c r="O45" s="57"/>
      <c r="P45" s="57"/>
      <c r="Q45" s="57"/>
      <c r="R45" s="57"/>
    </row>
    <row r="46" spans="2:25" hidden="1" x14ac:dyDescent="0.25">
      <c r="J46" s="58"/>
      <c r="K46" s="58"/>
      <c r="L46" s="58" t="s">
        <v>124</v>
      </c>
      <c r="M46" s="58"/>
      <c r="N46" s="58"/>
      <c r="O46" s="58"/>
      <c r="P46" s="58"/>
    </row>
    <row r="47" spans="2:25" hidden="1" x14ac:dyDescent="0.25">
      <c r="J47" s="59" t="str">
        <f t="shared" ref="J47:P55" si="19">IF(OR(J18=$Q18,AND($Q18=0,J18="X")),"OK","niet OK")</f>
        <v>OK</v>
      </c>
      <c r="K47" s="59" t="str">
        <f t="shared" si="19"/>
        <v>OK</v>
      </c>
      <c r="L47" s="59" t="str">
        <f t="shared" si="19"/>
        <v>OK</v>
      </c>
      <c r="M47" s="59" t="str">
        <f t="shared" si="19"/>
        <v>OK</v>
      </c>
      <c r="N47" s="59" t="str">
        <f t="shared" si="19"/>
        <v>OK</v>
      </c>
      <c r="O47" s="59" t="str">
        <f t="shared" si="19"/>
        <v>OK</v>
      </c>
      <c r="P47" s="59" t="str">
        <f t="shared" si="19"/>
        <v>OK</v>
      </c>
    </row>
    <row r="48" spans="2:25" hidden="1" x14ac:dyDescent="0.25">
      <c r="J48" s="59" t="str">
        <f t="shared" si="19"/>
        <v>OK</v>
      </c>
      <c r="K48" s="59" t="str">
        <f t="shared" si="19"/>
        <v>OK</v>
      </c>
      <c r="L48" s="59" t="str">
        <f t="shared" si="19"/>
        <v>OK</v>
      </c>
      <c r="M48" s="59" t="str">
        <f t="shared" si="19"/>
        <v>OK</v>
      </c>
      <c r="N48" s="59" t="str">
        <f t="shared" si="19"/>
        <v>OK</v>
      </c>
      <c r="O48" s="59" t="str">
        <f t="shared" si="19"/>
        <v>OK</v>
      </c>
      <c r="P48" s="59" t="str">
        <f t="shared" si="19"/>
        <v>OK</v>
      </c>
    </row>
    <row r="49" spans="10:16" hidden="1" x14ac:dyDescent="0.25">
      <c r="J49" s="59" t="str">
        <f t="shared" si="19"/>
        <v>OK</v>
      </c>
      <c r="K49" s="59" t="str">
        <f t="shared" si="19"/>
        <v>OK</v>
      </c>
      <c r="L49" s="59" t="str">
        <f t="shared" si="19"/>
        <v>OK</v>
      </c>
      <c r="M49" s="59" t="str">
        <f t="shared" si="19"/>
        <v>OK</v>
      </c>
      <c r="N49" s="59" t="str">
        <f t="shared" si="19"/>
        <v>OK</v>
      </c>
      <c r="O49" s="59" t="str">
        <f t="shared" si="19"/>
        <v>OK</v>
      </c>
      <c r="P49" s="59" t="str">
        <f t="shared" si="19"/>
        <v>OK</v>
      </c>
    </row>
    <row r="50" spans="10:16" hidden="1" x14ac:dyDescent="0.25">
      <c r="J50" s="59" t="str">
        <f t="shared" si="19"/>
        <v>OK</v>
      </c>
      <c r="K50" s="59" t="str">
        <f t="shared" si="19"/>
        <v>OK</v>
      </c>
      <c r="L50" s="59" t="str">
        <f t="shared" si="19"/>
        <v>OK</v>
      </c>
      <c r="M50" s="59" t="str">
        <f t="shared" si="19"/>
        <v>OK</v>
      </c>
      <c r="N50" s="59" t="str">
        <f t="shared" si="19"/>
        <v>OK</v>
      </c>
      <c r="O50" s="59" t="str">
        <f t="shared" si="19"/>
        <v>OK</v>
      </c>
      <c r="P50" s="59" t="str">
        <f t="shared" si="19"/>
        <v>OK</v>
      </c>
    </row>
    <row r="51" spans="10:16" hidden="1" x14ac:dyDescent="0.25">
      <c r="J51" s="59" t="str">
        <f t="shared" si="19"/>
        <v>OK</v>
      </c>
      <c r="K51" s="59" t="str">
        <f t="shared" si="19"/>
        <v>OK</v>
      </c>
      <c r="L51" s="59" t="str">
        <f t="shared" si="19"/>
        <v>OK</v>
      </c>
      <c r="M51" s="59" t="str">
        <f t="shared" si="19"/>
        <v>OK</v>
      </c>
      <c r="N51" s="59" t="str">
        <f t="shared" si="19"/>
        <v>OK</v>
      </c>
      <c r="O51" s="59" t="str">
        <f t="shared" si="19"/>
        <v>OK</v>
      </c>
      <c r="P51" s="59" t="str">
        <f t="shared" si="19"/>
        <v>OK</v>
      </c>
    </row>
    <row r="52" spans="10:16" hidden="1" x14ac:dyDescent="0.25">
      <c r="J52" s="59" t="str">
        <f t="shared" si="19"/>
        <v>OK</v>
      </c>
      <c r="K52" s="59" t="str">
        <f t="shared" si="19"/>
        <v>OK</v>
      </c>
      <c r="L52" s="59" t="str">
        <f t="shared" si="19"/>
        <v>OK</v>
      </c>
      <c r="M52" s="59" t="str">
        <f t="shared" si="19"/>
        <v>OK</v>
      </c>
      <c r="N52" s="59" t="str">
        <f t="shared" si="19"/>
        <v>OK</v>
      </c>
      <c r="O52" s="59" t="str">
        <f t="shared" si="19"/>
        <v>OK</v>
      </c>
      <c r="P52" s="59" t="str">
        <f t="shared" si="19"/>
        <v>OK</v>
      </c>
    </row>
    <row r="53" spans="10:16" hidden="1" x14ac:dyDescent="0.25">
      <c r="J53" s="59" t="str">
        <f t="shared" si="19"/>
        <v>OK</v>
      </c>
      <c r="K53" s="59" t="str">
        <f t="shared" si="19"/>
        <v>OK</v>
      </c>
      <c r="L53" s="59" t="str">
        <f t="shared" si="19"/>
        <v>OK</v>
      </c>
      <c r="M53" s="59" t="str">
        <f t="shared" si="19"/>
        <v>OK</v>
      </c>
      <c r="N53" s="59" t="str">
        <f t="shared" si="19"/>
        <v>OK</v>
      </c>
      <c r="O53" s="59" t="str">
        <f t="shared" si="19"/>
        <v>OK</v>
      </c>
      <c r="P53" s="59" t="str">
        <f t="shared" si="19"/>
        <v>OK</v>
      </c>
    </row>
    <row r="54" spans="10:16" hidden="1" x14ac:dyDescent="0.25">
      <c r="J54" s="59" t="str">
        <f t="shared" si="19"/>
        <v>OK</v>
      </c>
      <c r="K54" s="59" t="str">
        <f t="shared" si="19"/>
        <v>OK</v>
      </c>
      <c r="L54" s="59" t="str">
        <f t="shared" si="19"/>
        <v>OK</v>
      </c>
      <c r="M54" s="59" t="str">
        <f t="shared" si="19"/>
        <v>OK</v>
      </c>
      <c r="N54" s="59" t="str">
        <f t="shared" si="19"/>
        <v>OK</v>
      </c>
      <c r="O54" s="59" t="str">
        <f t="shared" si="19"/>
        <v>OK</v>
      </c>
      <c r="P54" s="59" t="str">
        <f t="shared" si="19"/>
        <v>OK</v>
      </c>
    </row>
    <row r="55" spans="10:16" hidden="1" x14ac:dyDescent="0.25">
      <c r="J55" s="59" t="str">
        <f t="shared" si="19"/>
        <v>OK</v>
      </c>
      <c r="K55" s="59" t="str">
        <f t="shared" si="19"/>
        <v>OK</v>
      </c>
      <c r="L55" s="59" t="str">
        <f t="shared" si="19"/>
        <v>OK</v>
      </c>
      <c r="M55" s="59" t="str">
        <f t="shared" si="19"/>
        <v>OK</v>
      </c>
      <c r="N55" s="59" t="str">
        <f t="shared" si="19"/>
        <v>OK</v>
      </c>
      <c r="O55" s="59" t="str">
        <f t="shared" si="19"/>
        <v>OK</v>
      </c>
      <c r="P55" s="59" t="str">
        <f t="shared" si="19"/>
        <v>OK</v>
      </c>
    </row>
    <row r="56" spans="10:16" hidden="1" x14ac:dyDescent="0.25">
      <c r="J56" s="59" t="str">
        <f t="shared" ref="J56:P57" si="20">IF(OR(J28=$Q28,AND($Q28=0,J28="X")),"OK","niet OK")</f>
        <v>OK</v>
      </c>
      <c r="K56" s="59" t="str">
        <f t="shared" si="20"/>
        <v>OK</v>
      </c>
      <c r="L56" s="59" t="str">
        <f t="shared" si="20"/>
        <v>OK</v>
      </c>
      <c r="M56" s="59" t="str">
        <f t="shared" si="20"/>
        <v>OK</v>
      </c>
      <c r="N56" s="59" t="str">
        <f t="shared" si="20"/>
        <v>OK</v>
      </c>
      <c r="O56" s="59" t="str">
        <f t="shared" si="20"/>
        <v>OK</v>
      </c>
      <c r="P56" s="59" t="str">
        <f t="shared" si="20"/>
        <v>OK</v>
      </c>
    </row>
    <row r="57" spans="10:16" hidden="1" x14ac:dyDescent="0.25">
      <c r="J57" s="59" t="str">
        <f t="shared" si="20"/>
        <v>OK</v>
      </c>
      <c r="K57" s="59" t="str">
        <f t="shared" si="20"/>
        <v>OK</v>
      </c>
      <c r="L57" s="59" t="str">
        <f t="shared" si="20"/>
        <v>OK</v>
      </c>
      <c r="M57" s="59" t="str">
        <f t="shared" si="20"/>
        <v>OK</v>
      </c>
      <c r="N57" s="59" t="str">
        <f t="shared" si="20"/>
        <v>OK</v>
      </c>
      <c r="O57" s="59" t="str">
        <f t="shared" si="20"/>
        <v>OK</v>
      </c>
      <c r="P57" s="59" t="str">
        <f t="shared" si="20"/>
        <v>OK</v>
      </c>
    </row>
    <row r="58" spans="10:16" hidden="1" x14ac:dyDescent="0.25">
      <c r="J58" s="59" t="str">
        <f t="shared" ref="J58:P61" si="21">IF(OR(J31=$Q31,AND($Q31=0,J31="X")),"OK","niet OK")</f>
        <v>OK</v>
      </c>
      <c r="K58" s="59" t="str">
        <f t="shared" si="21"/>
        <v>OK</v>
      </c>
      <c r="L58" s="59" t="str">
        <f t="shared" si="21"/>
        <v>OK</v>
      </c>
      <c r="M58" s="59" t="str">
        <f t="shared" si="21"/>
        <v>OK</v>
      </c>
      <c r="N58" s="59" t="str">
        <f t="shared" si="21"/>
        <v>OK</v>
      </c>
      <c r="O58" s="59" t="str">
        <f t="shared" si="21"/>
        <v>OK</v>
      </c>
      <c r="P58" s="59" t="str">
        <f t="shared" si="21"/>
        <v>OK</v>
      </c>
    </row>
    <row r="59" spans="10:16" hidden="1" x14ac:dyDescent="0.25">
      <c r="J59" s="59" t="str">
        <f t="shared" si="21"/>
        <v>OK</v>
      </c>
      <c r="K59" s="59" t="str">
        <f t="shared" si="21"/>
        <v>OK</v>
      </c>
      <c r="L59" s="59" t="str">
        <f t="shared" si="21"/>
        <v>OK</v>
      </c>
      <c r="M59" s="59" t="str">
        <f t="shared" si="21"/>
        <v>OK</v>
      </c>
      <c r="N59" s="59" t="str">
        <f t="shared" si="21"/>
        <v>OK</v>
      </c>
      <c r="O59" s="59" t="str">
        <f t="shared" si="21"/>
        <v>OK</v>
      </c>
      <c r="P59" s="59" t="str">
        <f t="shared" si="21"/>
        <v>OK</v>
      </c>
    </row>
    <row r="60" spans="10:16" hidden="1" x14ac:dyDescent="0.25">
      <c r="J60" s="59" t="str">
        <f t="shared" si="21"/>
        <v>OK</v>
      </c>
      <c r="K60" s="59" t="str">
        <f t="shared" si="21"/>
        <v>OK</v>
      </c>
      <c r="L60" s="59" t="str">
        <f t="shared" si="21"/>
        <v>OK</v>
      </c>
      <c r="M60" s="59" t="str">
        <f t="shared" si="21"/>
        <v>OK</v>
      </c>
      <c r="N60" s="59" t="str">
        <f t="shared" si="21"/>
        <v>OK</v>
      </c>
      <c r="O60" s="59" t="str">
        <f t="shared" si="21"/>
        <v>OK</v>
      </c>
      <c r="P60" s="59" t="str">
        <f t="shared" si="21"/>
        <v>OK</v>
      </c>
    </row>
    <row r="61" spans="10:16" hidden="1" x14ac:dyDescent="0.25">
      <c r="J61" s="59" t="str">
        <f t="shared" si="21"/>
        <v>OK</v>
      </c>
      <c r="K61" s="59" t="str">
        <f t="shared" si="21"/>
        <v>OK</v>
      </c>
      <c r="L61" s="59" t="str">
        <f t="shared" si="21"/>
        <v>OK</v>
      </c>
      <c r="M61" s="59" t="str">
        <f t="shared" si="21"/>
        <v>OK</v>
      </c>
      <c r="N61" s="59" t="str">
        <f t="shared" si="21"/>
        <v>OK</v>
      </c>
      <c r="O61" s="59" t="str">
        <f t="shared" si="21"/>
        <v>OK</v>
      </c>
      <c r="P61" s="59" t="str">
        <f t="shared" si="21"/>
        <v>OK</v>
      </c>
    </row>
    <row r="62" spans="10:16" hidden="1" x14ac:dyDescent="0.25">
      <c r="J62" s="59" t="str">
        <f t="shared" ref="J62:P63" si="22">IF(OR(J35=$Q35,AND($Q35=0,J35="X")),"OK","niet OK")</f>
        <v>OK</v>
      </c>
      <c r="K62" s="59" t="str">
        <f t="shared" si="22"/>
        <v>OK</v>
      </c>
      <c r="L62" s="59" t="str">
        <f t="shared" si="22"/>
        <v>OK</v>
      </c>
      <c r="M62" s="59" t="str">
        <f t="shared" si="22"/>
        <v>OK</v>
      </c>
      <c r="N62" s="59" t="str">
        <f t="shared" si="22"/>
        <v>OK</v>
      </c>
      <c r="O62" s="59" t="str">
        <f t="shared" si="22"/>
        <v>OK</v>
      </c>
      <c r="P62" s="59" t="str">
        <f t="shared" si="22"/>
        <v>OK</v>
      </c>
    </row>
    <row r="63" spans="10:16" hidden="1" x14ac:dyDescent="0.25">
      <c r="J63" s="59" t="str">
        <f t="shared" si="22"/>
        <v>OK</v>
      </c>
      <c r="K63" s="59" t="str">
        <f t="shared" si="22"/>
        <v>OK</v>
      </c>
      <c r="L63" s="59" t="str">
        <f t="shared" si="22"/>
        <v>OK</v>
      </c>
      <c r="M63" s="59" t="str">
        <f t="shared" si="22"/>
        <v>OK</v>
      </c>
      <c r="N63" s="59" t="str">
        <f t="shared" si="22"/>
        <v>OK</v>
      </c>
      <c r="O63" s="59" t="str">
        <f t="shared" si="22"/>
        <v>OK</v>
      </c>
      <c r="P63" s="59" t="str">
        <f t="shared" si="22"/>
        <v>OK</v>
      </c>
    </row>
  </sheetData>
  <protectedRanges>
    <protectedRange algorithmName="SHA-512" hashValue="FkuOLiiU2mjKZgvwGx8E75bKrmCqIjGITea9lnmTbF8YFwSgwmmO0sguAEuD9q85ceVdVlC+ktHNmpwn2QGGzg==" saltValue="cinkr5+j1hImB5wqxc8bTA==" spinCount="100000" sqref="J27:K27 J18:P26 J28:P36" name="te wijzigen"/>
  </protectedRanges>
  <mergeCells count="2">
    <mergeCell ref="C14:E14"/>
    <mergeCell ref="F14:H14"/>
  </mergeCells>
  <conditionalFormatting sqref="J38:P40">
    <cfRule type="cellIs" dxfId="5" priority="3" operator="equal">
      <formula>"niet OK"</formula>
    </cfRule>
  </conditionalFormatting>
  <conditionalFormatting sqref="J41:P45">
    <cfRule type="cellIs" dxfId="4" priority="1" operator="equal">
      <formula>"JA"</formula>
    </cfRule>
  </conditionalFormatting>
  <conditionalFormatting sqref="Q43:R45">
    <cfRule type="cellIs" dxfId="3" priority="2" operator="equal">
      <formula>"JA"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8F2-B375-43F7-8648-64B33D02EF0D}">
  <dimension ref="B1:X63"/>
  <sheetViews>
    <sheetView topLeftCell="F1" zoomScale="85" zoomScaleNormal="85" workbookViewId="0">
      <selection activeCell="S24" sqref="S24"/>
    </sheetView>
  </sheetViews>
  <sheetFormatPr defaultRowHeight="15" x14ac:dyDescent="0.25"/>
  <cols>
    <col min="1" max="1" width="1.5703125" customWidth="1"/>
    <col min="2" max="2" width="21.5703125" customWidth="1"/>
    <col min="3" max="4" width="8.85546875" style="27"/>
    <col min="5" max="5" width="12.140625" style="27" bestFit="1" customWidth="1"/>
    <col min="6" max="8" width="12.140625" style="27" customWidth="1"/>
    <col min="9" max="9" width="6.42578125" style="27" bestFit="1" customWidth="1"/>
    <col min="10" max="16" width="12.7109375" style="24" customWidth="1"/>
    <col min="17" max="17" width="70.5703125" style="27" customWidth="1"/>
    <col min="18" max="18" width="46.140625" customWidth="1"/>
  </cols>
  <sheetData>
    <row r="1" spans="2:18" ht="23.25" x14ac:dyDescent="0.35">
      <c r="B1" s="21" t="s">
        <v>68</v>
      </c>
      <c r="C1" s="22"/>
      <c r="D1" s="22"/>
      <c r="E1" s="22"/>
      <c r="F1" s="22"/>
      <c r="G1" s="22"/>
      <c r="H1" s="22"/>
      <c r="I1" s="22"/>
      <c r="J1" s="23"/>
      <c r="K1" s="23"/>
      <c r="L1" s="23"/>
      <c r="M1" s="23"/>
      <c r="Q1" s="25" t="s">
        <v>69</v>
      </c>
    </row>
    <row r="2" spans="2:18" ht="18.75" x14ac:dyDescent="0.3">
      <c r="B2" s="26" t="s">
        <v>125</v>
      </c>
      <c r="C2" s="26"/>
      <c r="D2" s="26"/>
      <c r="E2" s="26"/>
      <c r="F2" s="26"/>
      <c r="G2" s="26"/>
      <c r="H2" s="26"/>
      <c r="I2" s="26"/>
      <c r="J2" s="26"/>
      <c r="K2" s="26"/>
      <c r="L2" s="26"/>
      <c r="M2" s="26"/>
      <c r="N2" s="26"/>
      <c r="O2" s="26"/>
      <c r="P2" s="26"/>
      <c r="Q2" s="26"/>
      <c r="R2" s="26"/>
    </row>
    <row r="3" spans="2:18" ht="18.75" x14ac:dyDescent="0.3">
      <c r="B3" s="26" t="s">
        <v>71</v>
      </c>
      <c r="C3" s="26"/>
      <c r="D3" s="26"/>
      <c r="E3" s="26"/>
      <c r="F3" s="26"/>
      <c r="G3" s="26"/>
      <c r="H3" s="26"/>
      <c r="I3" s="26"/>
      <c r="J3" s="26"/>
      <c r="K3" s="26"/>
      <c r="L3" s="26"/>
      <c r="M3" s="26"/>
      <c r="N3" s="26"/>
      <c r="O3" s="26"/>
      <c r="P3" s="26"/>
      <c r="Q3" s="26"/>
      <c r="R3" s="26"/>
    </row>
    <row r="4" spans="2:18" ht="18.75" x14ac:dyDescent="0.3">
      <c r="B4" s="26"/>
      <c r="C4" s="26"/>
      <c r="D4" s="26"/>
      <c r="E4" s="26"/>
      <c r="F4" s="26"/>
      <c r="G4" s="26"/>
      <c r="H4" s="26"/>
      <c r="I4" s="26"/>
      <c r="J4" s="26"/>
      <c r="K4" s="26"/>
      <c r="L4" s="26"/>
      <c r="M4" s="26"/>
      <c r="N4" s="26"/>
      <c r="O4" s="26"/>
      <c r="P4" s="26"/>
      <c r="Q4" s="26"/>
      <c r="R4" s="26"/>
    </row>
    <row r="5" spans="2:18" ht="18.75" x14ac:dyDescent="0.3">
      <c r="B5" s="26"/>
      <c r="C5" s="26"/>
      <c r="D5" s="26"/>
      <c r="E5" s="26"/>
      <c r="F5" s="26"/>
      <c r="G5" s="26"/>
      <c r="H5" s="26"/>
      <c r="I5" s="26"/>
      <c r="J5" s="26"/>
      <c r="K5" s="26"/>
      <c r="L5" s="26"/>
      <c r="M5" s="26"/>
      <c r="N5" s="26"/>
      <c r="O5" s="26"/>
      <c r="P5" s="26"/>
      <c r="Q5" s="26"/>
      <c r="R5" s="26"/>
    </row>
    <row r="6" spans="2:18" ht="18.75" x14ac:dyDescent="0.3">
      <c r="B6" s="26"/>
      <c r="C6" s="26"/>
      <c r="D6" s="26"/>
      <c r="E6" s="26"/>
      <c r="F6" s="26"/>
      <c r="G6" s="26"/>
      <c r="H6" s="26"/>
      <c r="I6" s="26"/>
      <c r="J6" s="26"/>
      <c r="K6" s="26"/>
      <c r="L6" s="26"/>
      <c r="M6" s="26"/>
      <c r="N6" s="26"/>
      <c r="O6" s="26"/>
      <c r="P6" s="26"/>
      <c r="Q6" s="26"/>
      <c r="R6" s="26"/>
    </row>
    <row r="7" spans="2:18" ht="18.75" x14ac:dyDescent="0.3">
      <c r="B7" s="26"/>
      <c r="C7" s="26"/>
      <c r="D7" s="26"/>
      <c r="E7" s="26"/>
      <c r="F7" s="26"/>
      <c r="G7" s="26"/>
      <c r="H7" s="26"/>
      <c r="I7" s="26"/>
      <c r="J7" s="26"/>
      <c r="K7" s="26"/>
      <c r="L7" s="26"/>
      <c r="M7" s="26"/>
      <c r="N7" s="26"/>
      <c r="O7" s="26"/>
      <c r="P7" s="26"/>
      <c r="Q7" s="26"/>
      <c r="R7" s="26"/>
    </row>
    <row r="8" spans="2:18" ht="18.75" x14ac:dyDescent="0.3">
      <c r="B8" s="26"/>
      <c r="C8" s="26"/>
      <c r="D8" s="26"/>
      <c r="E8" s="26"/>
      <c r="F8" s="26"/>
      <c r="G8" s="26"/>
      <c r="H8" s="26"/>
      <c r="I8" s="26"/>
      <c r="J8" s="26"/>
      <c r="K8" s="26"/>
      <c r="L8" s="26"/>
      <c r="M8" s="26"/>
      <c r="N8" s="26"/>
      <c r="O8" s="26"/>
      <c r="P8" s="26"/>
      <c r="Q8" s="26"/>
      <c r="R8" s="26"/>
    </row>
    <row r="9" spans="2:18" ht="18.75" x14ac:dyDescent="0.3">
      <c r="B9" s="26"/>
      <c r="C9" s="26"/>
      <c r="D9" s="26"/>
      <c r="E9" s="26"/>
      <c r="F9" s="26"/>
      <c r="G9" s="26"/>
      <c r="H9" s="26"/>
      <c r="I9" s="26"/>
      <c r="J9" s="26"/>
      <c r="K9" s="26"/>
      <c r="L9" s="26"/>
      <c r="M9" s="26"/>
      <c r="N9" s="26"/>
      <c r="O9" s="26"/>
      <c r="P9" s="26"/>
      <c r="Q9" s="26"/>
      <c r="R9" s="26"/>
    </row>
    <row r="10" spans="2:18" ht="18.75" x14ac:dyDescent="0.3">
      <c r="B10" s="26"/>
      <c r="C10" s="26"/>
      <c r="D10" s="26"/>
      <c r="E10" s="26"/>
      <c r="F10" s="26"/>
      <c r="G10" s="26"/>
      <c r="H10" s="26"/>
      <c r="I10" s="26"/>
      <c r="J10" s="26"/>
      <c r="K10" s="26"/>
      <c r="L10" s="26"/>
      <c r="M10" s="26"/>
      <c r="N10" s="26"/>
      <c r="O10" s="26"/>
      <c r="P10" s="26"/>
      <c r="Q10" s="26"/>
      <c r="R10" s="26"/>
    </row>
    <row r="11" spans="2:18" ht="15.75" thickBot="1" x14ac:dyDescent="0.3"/>
    <row r="12" spans="2:18" s="24" customFormat="1" x14ac:dyDescent="0.25">
      <c r="B12" s="28" t="s">
        <v>72</v>
      </c>
      <c r="C12" s="29"/>
      <c r="D12" s="30"/>
      <c r="E12" s="31"/>
      <c r="F12" s="29"/>
      <c r="G12" s="30"/>
      <c r="H12" s="31"/>
      <c r="I12" s="75"/>
      <c r="J12" s="105" t="s">
        <v>73</v>
      </c>
      <c r="K12" s="105" t="s">
        <v>74</v>
      </c>
      <c r="L12" s="105" t="s">
        <v>75</v>
      </c>
      <c r="M12" s="105" t="s">
        <v>76</v>
      </c>
      <c r="N12" s="105" t="s">
        <v>77</v>
      </c>
      <c r="O12" s="105" t="s">
        <v>78</v>
      </c>
      <c r="P12" s="106" t="s">
        <v>79</v>
      </c>
      <c r="Q12" s="32"/>
      <c r="R12" s="33"/>
    </row>
    <row r="13" spans="2:18" s="24" customFormat="1" x14ac:dyDescent="0.25">
      <c r="B13" s="84" t="s">
        <v>80</v>
      </c>
      <c r="C13" s="38"/>
      <c r="D13" s="39"/>
      <c r="E13" s="40"/>
      <c r="F13" s="38"/>
      <c r="G13" s="39"/>
      <c r="H13" s="40"/>
      <c r="I13" s="77"/>
      <c r="J13" s="107" t="s">
        <v>81</v>
      </c>
      <c r="K13" s="107" t="s">
        <v>82</v>
      </c>
      <c r="L13" s="107" t="s">
        <v>83</v>
      </c>
      <c r="M13" s="107" t="s">
        <v>84</v>
      </c>
      <c r="N13" s="107" t="s">
        <v>85</v>
      </c>
      <c r="O13" s="107" t="s">
        <v>86</v>
      </c>
      <c r="P13" s="108" t="s">
        <v>87</v>
      </c>
      <c r="Q13" s="34" t="s">
        <v>88</v>
      </c>
      <c r="R13" s="35"/>
    </row>
    <row r="14" spans="2:18" s="24" customFormat="1" x14ac:dyDescent="0.25">
      <c r="B14" s="36"/>
      <c r="C14" s="129" t="s">
        <v>89</v>
      </c>
      <c r="D14" s="130"/>
      <c r="E14" s="131"/>
      <c r="F14" s="129" t="s">
        <v>90</v>
      </c>
      <c r="G14" s="130"/>
      <c r="H14" s="131"/>
      <c r="I14" s="76"/>
      <c r="J14" s="3">
        <v>63</v>
      </c>
      <c r="K14" s="3">
        <v>80</v>
      </c>
      <c r="L14" s="3">
        <v>100</v>
      </c>
      <c r="M14" s="3">
        <v>125</v>
      </c>
      <c r="N14" s="3">
        <v>160</v>
      </c>
      <c r="O14" s="3">
        <v>200</v>
      </c>
      <c r="P14" s="109">
        <v>250</v>
      </c>
      <c r="Q14" s="34" t="s">
        <v>91</v>
      </c>
      <c r="R14" s="35"/>
    </row>
    <row r="15" spans="2:18" s="24" customFormat="1" x14ac:dyDescent="0.25">
      <c r="B15" s="36"/>
      <c r="C15" s="65" t="s">
        <v>92</v>
      </c>
      <c r="D15" s="27" t="s">
        <v>92</v>
      </c>
      <c r="E15" s="66" t="s">
        <v>92</v>
      </c>
      <c r="F15" s="65" t="s">
        <v>92</v>
      </c>
      <c r="G15" s="27" t="s">
        <v>92</v>
      </c>
      <c r="H15" s="66" t="s">
        <v>92</v>
      </c>
      <c r="I15" s="76" t="s">
        <v>93</v>
      </c>
      <c r="J15" s="3" t="s">
        <v>92</v>
      </c>
      <c r="K15" s="3" t="s">
        <v>92</v>
      </c>
      <c r="L15" s="3" t="s">
        <v>92</v>
      </c>
      <c r="M15" s="3" t="s">
        <v>92</v>
      </c>
      <c r="N15" s="3" t="s">
        <v>92</v>
      </c>
      <c r="O15" s="3" t="s">
        <v>92</v>
      </c>
      <c r="P15" s="109" t="s">
        <v>92</v>
      </c>
      <c r="Q15" s="34" t="s">
        <v>94</v>
      </c>
      <c r="R15" s="35"/>
    </row>
    <row r="16" spans="2:18" s="24" customFormat="1" x14ac:dyDescent="0.25">
      <c r="B16" s="36"/>
      <c r="C16" s="65"/>
      <c r="D16" s="27"/>
      <c r="E16" s="66"/>
      <c r="F16" s="65"/>
      <c r="G16" s="27"/>
      <c r="H16" s="66"/>
      <c r="I16" s="76"/>
      <c r="J16" s="3">
        <v>0.215</v>
      </c>
      <c r="K16" s="3">
        <v>0.17</v>
      </c>
      <c r="L16" s="3">
        <v>0.13600000000000001</v>
      </c>
      <c r="M16" s="3">
        <v>0.109</v>
      </c>
      <c r="N16" s="3">
        <v>8.5000000000000006E-2</v>
      </c>
      <c r="O16" s="3">
        <v>6.8000000000000005E-2</v>
      </c>
      <c r="P16" s="109">
        <v>5.5E-2</v>
      </c>
      <c r="Q16" s="34"/>
      <c r="R16" s="35"/>
    </row>
    <row r="17" spans="2:24" s="24" customFormat="1" x14ac:dyDescent="0.25">
      <c r="B17" s="37" t="s">
        <v>95</v>
      </c>
      <c r="C17" s="38" t="s">
        <v>96</v>
      </c>
      <c r="D17" s="39" t="s">
        <v>97</v>
      </c>
      <c r="E17" s="40" t="s">
        <v>98</v>
      </c>
      <c r="F17" s="38" t="s">
        <v>96</v>
      </c>
      <c r="G17" s="39" t="s">
        <v>97</v>
      </c>
      <c r="H17" s="40" t="s">
        <v>98</v>
      </c>
      <c r="I17" s="77"/>
      <c r="J17" s="3">
        <v>0.25</v>
      </c>
      <c r="K17" s="3">
        <v>0.25</v>
      </c>
      <c r="L17" s="3">
        <v>0.25</v>
      </c>
      <c r="M17" s="3">
        <v>0.25</v>
      </c>
      <c r="N17" s="3">
        <v>0.21299999999999999</v>
      </c>
      <c r="O17" s="3">
        <v>0.17</v>
      </c>
      <c r="P17" s="109">
        <v>0.13600000000000001</v>
      </c>
      <c r="Q17" s="67" t="s">
        <v>99</v>
      </c>
      <c r="R17" s="41"/>
      <c r="T17" s="135"/>
      <c r="U17" s="135"/>
      <c r="V17" s="135"/>
      <c r="W17" s="135"/>
      <c r="X17" s="135"/>
    </row>
    <row r="18" spans="2:24" s="24" customFormat="1" x14ac:dyDescent="0.25">
      <c r="B18" s="36" t="s">
        <v>100</v>
      </c>
      <c r="C18" s="42">
        <v>0.129</v>
      </c>
      <c r="D18" s="78">
        <v>7.2999999999999995E-2</v>
      </c>
      <c r="E18" s="43">
        <f>SQRT(C18^2+D18^2)</f>
        <v>0.14822280526288795</v>
      </c>
      <c r="F18" s="42">
        <f t="shared" ref="F18:F25" si="0">+C18*Q18/1000</f>
        <v>0</v>
      </c>
      <c r="G18" s="78">
        <f t="shared" ref="G18:G25" si="1">+Q18*D18/1000</f>
        <v>0</v>
      </c>
      <c r="H18" s="43"/>
      <c r="I18" s="103">
        <v>359</v>
      </c>
      <c r="J18" s="110">
        <f>IF(J$14&lt;=$I18+3,+$Q18,"X")</f>
        <v>0</v>
      </c>
      <c r="K18" s="111">
        <f t="shared" ref="K18:P25" si="2">IF(K$14&lt;=$I18+3,+$Q18,"X")</f>
        <v>0</v>
      </c>
      <c r="L18" s="111">
        <f t="shared" si="2"/>
        <v>0</v>
      </c>
      <c r="M18" s="111">
        <f t="shared" si="2"/>
        <v>0</v>
      </c>
      <c r="N18" s="111">
        <f t="shared" si="2"/>
        <v>0</v>
      </c>
      <c r="O18" s="111">
        <f t="shared" si="2"/>
        <v>0</v>
      </c>
      <c r="P18" s="112">
        <f t="shared" si="2"/>
        <v>0</v>
      </c>
      <c r="Q18" s="73"/>
      <c r="R18" s="44" t="s">
        <v>100</v>
      </c>
      <c r="T18" s="135"/>
      <c r="U18" s="135"/>
      <c r="V18" s="135"/>
      <c r="W18" s="135"/>
      <c r="X18" s="135"/>
    </row>
    <row r="19" spans="2:24" s="24" customFormat="1" x14ac:dyDescent="0.25">
      <c r="B19" s="36" t="s">
        <v>101</v>
      </c>
      <c r="C19" s="42">
        <v>0.20599999999999999</v>
      </c>
      <c r="D19" s="78">
        <v>7.9000000000000001E-2</v>
      </c>
      <c r="E19" s="43">
        <f t="shared" ref="E19:E24" si="3">SQRT(C19^2+D19^2)</f>
        <v>0.22062864727863424</v>
      </c>
      <c r="F19" s="42">
        <f t="shared" si="0"/>
        <v>0</v>
      </c>
      <c r="G19" s="78">
        <f t="shared" si="1"/>
        <v>0</v>
      </c>
      <c r="H19" s="43"/>
      <c r="I19" s="103">
        <v>272</v>
      </c>
      <c r="J19" s="113">
        <f t="shared" ref="J19:J25" si="4">IF(J$14&lt;=$I19+3,+$Q19,"X")</f>
        <v>0</v>
      </c>
      <c r="K19" s="114">
        <f t="shared" si="2"/>
        <v>0</v>
      </c>
      <c r="L19" s="114">
        <f t="shared" si="2"/>
        <v>0</v>
      </c>
      <c r="M19" s="114">
        <f t="shared" si="2"/>
        <v>0</v>
      </c>
      <c r="N19" s="114">
        <f t="shared" si="2"/>
        <v>0</v>
      </c>
      <c r="O19" s="114">
        <f t="shared" si="2"/>
        <v>0</v>
      </c>
      <c r="P19" s="115">
        <f t="shared" si="2"/>
        <v>0</v>
      </c>
      <c r="Q19" s="73"/>
      <c r="R19" s="44" t="s">
        <v>101</v>
      </c>
      <c r="T19" s="135"/>
      <c r="U19" s="135"/>
      <c r="V19" s="135"/>
      <c r="W19" s="135"/>
      <c r="X19" s="135"/>
    </row>
    <row r="20" spans="2:24" s="24" customFormat="1" x14ac:dyDescent="0.25">
      <c r="B20" s="36" t="s">
        <v>102</v>
      </c>
      <c r="C20" s="42">
        <v>0.28100000000000003</v>
      </c>
      <c r="D20" s="78">
        <v>8.1000000000000003E-2</v>
      </c>
      <c r="E20" s="43">
        <f t="shared" si="3"/>
        <v>0.29244144713087439</v>
      </c>
      <c r="F20" s="42">
        <f t="shared" si="0"/>
        <v>0</v>
      </c>
      <c r="G20" s="78">
        <f t="shared" si="1"/>
        <v>0</v>
      </c>
      <c r="H20" s="43"/>
      <c r="I20" s="103">
        <v>243</v>
      </c>
      <c r="J20" s="113">
        <f t="shared" si="4"/>
        <v>0</v>
      </c>
      <c r="K20" s="114">
        <f t="shared" si="2"/>
        <v>0</v>
      </c>
      <c r="L20" s="114">
        <f t="shared" si="2"/>
        <v>0</v>
      </c>
      <c r="M20" s="114">
        <f t="shared" si="2"/>
        <v>0</v>
      </c>
      <c r="N20" s="114">
        <f t="shared" si="2"/>
        <v>0</v>
      </c>
      <c r="O20" s="114">
        <f t="shared" si="2"/>
        <v>0</v>
      </c>
      <c r="P20" s="115" t="str">
        <f t="shared" si="2"/>
        <v>X</v>
      </c>
      <c r="Q20" s="73"/>
      <c r="R20" s="44" t="s">
        <v>102</v>
      </c>
      <c r="T20" s="135"/>
      <c r="U20" s="135"/>
      <c r="V20" s="135"/>
      <c r="W20" s="135"/>
      <c r="X20" s="135"/>
    </row>
    <row r="21" spans="2:24" s="24" customFormat="1" x14ac:dyDescent="0.25">
      <c r="B21" s="36" t="s">
        <v>103</v>
      </c>
      <c r="C21" s="42">
        <v>0.32</v>
      </c>
      <c r="D21" s="78">
        <v>8.2000000000000003E-2</v>
      </c>
      <c r="E21" s="43">
        <f t="shared" si="3"/>
        <v>0.33033921959101376</v>
      </c>
      <c r="F21" s="42">
        <f t="shared" si="0"/>
        <v>0</v>
      </c>
      <c r="G21" s="78">
        <f t="shared" si="1"/>
        <v>0</v>
      </c>
      <c r="H21" s="43"/>
      <c r="I21" s="103">
        <v>213</v>
      </c>
      <c r="J21" s="113">
        <f t="shared" si="4"/>
        <v>0</v>
      </c>
      <c r="K21" s="114">
        <f t="shared" si="2"/>
        <v>0</v>
      </c>
      <c r="L21" s="114">
        <f t="shared" si="2"/>
        <v>0</v>
      </c>
      <c r="M21" s="114">
        <f t="shared" si="2"/>
        <v>0</v>
      </c>
      <c r="N21" s="114">
        <f t="shared" si="2"/>
        <v>0</v>
      </c>
      <c r="O21" s="114">
        <f t="shared" si="2"/>
        <v>0</v>
      </c>
      <c r="P21" s="115" t="str">
        <f t="shared" si="2"/>
        <v>X</v>
      </c>
      <c r="Q21" s="73"/>
      <c r="R21" s="44" t="s">
        <v>103</v>
      </c>
      <c r="T21" s="135"/>
      <c r="U21" s="135"/>
      <c r="V21" s="135"/>
      <c r="W21" s="135"/>
      <c r="X21" s="135"/>
    </row>
    <row r="22" spans="2:24" s="24" customFormat="1" x14ac:dyDescent="0.25">
      <c r="B22" s="36" t="s">
        <v>104</v>
      </c>
      <c r="C22" s="42">
        <v>0.443</v>
      </c>
      <c r="D22" s="78">
        <f>(D21+D23)/2</f>
        <v>8.3500000000000005E-2</v>
      </c>
      <c r="E22" s="43">
        <f>SQRT(C22^2+D22^2)</f>
        <v>0.45080067657447015</v>
      </c>
      <c r="F22" s="42">
        <f t="shared" si="0"/>
        <v>0</v>
      </c>
      <c r="G22" s="78">
        <f t="shared" si="1"/>
        <v>0</v>
      </c>
      <c r="H22" s="43"/>
      <c r="I22" s="103">
        <v>177</v>
      </c>
      <c r="J22" s="113">
        <f t="shared" si="4"/>
        <v>0</v>
      </c>
      <c r="K22" s="114">
        <f t="shared" si="2"/>
        <v>0</v>
      </c>
      <c r="L22" s="114">
        <f t="shared" si="2"/>
        <v>0</v>
      </c>
      <c r="M22" s="114">
        <f t="shared" si="2"/>
        <v>0</v>
      </c>
      <c r="N22" s="114">
        <f t="shared" si="2"/>
        <v>0</v>
      </c>
      <c r="O22" s="114" t="str">
        <f t="shared" si="2"/>
        <v>X</v>
      </c>
      <c r="P22" s="115" t="str">
        <f t="shared" si="2"/>
        <v>X</v>
      </c>
      <c r="Q22" s="73"/>
      <c r="R22" s="44" t="s">
        <v>104</v>
      </c>
      <c r="T22" s="135"/>
      <c r="U22" s="135"/>
      <c r="V22" s="135"/>
      <c r="W22" s="135"/>
      <c r="X22" s="135"/>
    </row>
    <row r="23" spans="2:24" s="24" customFormat="1" x14ac:dyDescent="0.25">
      <c r="B23" s="36" t="s">
        <v>105</v>
      </c>
      <c r="C23" s="42">
        <v>0.64100000000000001</v>
      </c>
      <c r="D23" s="78">
        <v>8.5000000000000006E-2</v>
      </c>
      <c r="E23" s="43">
        <f t="shared" si="3"/>
        <v>0.64661116600318613</v>
      </c>
      <c r="F23" s="42">
        <f t="shared" si="0"/>
        <v>0</v>
      </c>
      <c r="G23" s="78">
        <f t="shared" si="1"/>
        <v>0</v>
      </c>
      <c r="H23" s="43"/>
      <c r="I23" s="103">
        <v>144</v>
      </c>
      <c r="J23" s="113">
        <f t="shared" si="4"/>
        <v>0</v>
      </c>
      <c r="K23" s="114">
        <f t="shared" si="2"/>
        <v>0</v>
      </c>
      <c r="L23" s="114">
        <f t="shared" si="2"/>
        <v>0</v>
      </c>
      <c r="M23" s="114">
        <f t="shared" si="2"/>
        <v>0</v>
      </c>
      <c r="N23" s="114" t="str">
        <f t="shared" si="2"/>
        <v>X</v>
      </c>
      <c r="O23" s="114" t="str">
        <f t="shared" si="2"/>
        <v>X</v>
      </c>
      <c r="P23" s="115" t="str">
        <f t="shared" si="2"/>
        <v>X</v>
      </c>
      <c r="Q23" s="73"/>
      <c r="R23" s="44" t="s">
        <v>105</v>
      </c>
      <c r="T23" s="135"/>
      <c r="U23" s="135"/>
      <c r="V23" s="135"/>
      <c r="W23" s="135"/>
      <c r="X23" s="135"/>
    </row>
    <row r="24" spans="2:24" s="24" customFormat="1" x14ac:dyDescent="0.25">
      <c r="B24" s="36" t="s">
        <v>106</v>
      </c>
      <c r="C24" s="42">
        <v>0.86799999999999999</v>
      </c>
      <c r="D24" s="78">
        <v>0.10100000000000001</v>
      </c>
      <c r="E24" s="43">
        <f t="shared" si="3"/>
        <v>0.87385639552503136</v>
      </c>
      <c r="F24" s="42">
        <f>+C24*Q24/1000</f>
        <v>0</v>
      </c>
      <c r="G24" s="78">
        <f>+Q24*D24/1000</f>
        <v>0</v>
      </c>
      <c r="H24" s="43"/>
      <c r="I24" s="103">
        <v>120</v>
      </c>
      <c r="J24" s="113">
        <f t="shared" ref="J24:P24" si="5">IF(J$14&lt;=$I24+3,+$Q24,"X")</f>
        <v>0</v>
      </c>
      <c r="K24" s="114">
        <f t="shared" si="5"/>
        <v>0</v>
      </c>
      <c r="L24" s="114">
        <f t="shared" si="5"/>
        <v>0</v>
      </c>
      <c r="M24" s="114" t="str">
        <f t="shared" si="5"/>
        <v>X</v>
      </c>
      <c r="N24" s="114" t="str">
        <f t="shared" si="5"/>
        <v>X</v>
      </c>
      <c r="O24" s="114" t="str">
        <f t="shared" si="5"/>
        <v>X</v>
      </c>
      <c r="P24" s="115" t="str">
        <f t="shared" si="5"/>
        <v>X</v>
      </c>
      <c r="Q24" s="73"/>
      <c r="R24" s="44" t="s">
        <v>106</v>
      </c>
      <c r="T24" s="135"/>
      <c r="U24" s="135"/>
      <c r="V24" s="135"/>
      <c r="W24" s="135"/>
      <c r="X24" s="135"/>
    </row>
    <row r="25" spans="2:24" s="24" customFormat="1" x14ac:dyDescent="0.25">
      <c r="B25" s="36" t="s">
        <v>107</v>
      </c>
      <c r="C25" s="42">
        <v>1.2</v>
      </c>
      <c r="D25" s="78">
        <v>9.4E-2</v>
      </c>
      <c r="E25" s="43">
        <f>SQRT(C25^2+D25^2)</f>
        <v>1.2036760361492622</v>
      </c>
      <c r="F25" s="42">
        <f t="shared" si="0"/>
        <v>0</v>
      </c>
      <c r="G25" s="78">
        <f t="shared" si="1"/>
        <v>0</v>
      </c>
      <c r="H25" s="43"/>
      <c r="I25" s="103">
        <v>100</v>
      </c>
      <c r="J25" s="113">
        <f t="shared" si="4"/>
        <v>0</v>
      </c>
      <c r="K25" s="114">
        <f t="shared" si="2"/>
        <v>0</v>
      </c>
      <c r="L25" s="114">
        <f t="shared" si="2"/>
        <v>0</v>
      </c>
      <c r="M25" s="114" t="str">
        <f t="shared" si="2"/>
        <v>X</v>
      </c>
      <c r="N25" s="114" t="str">
        <f t="shared" si="2"/>
        <v>X</v>
      </c>
      <c r="O25" s="114" t="str">
        <f t="shared" si="2"/>
        <v>X</v>
      </c>
      <c r="P25" s="115" t="str">
        <f t="shared" si="2"/>
        <v>X</v>
      </c>
      <c r="Q25" s="73"/>
      <c r="R25" s="44" t="s">
        <v>107</v>
      </c>
      <c r="T25" s="135"/>
      <c r="U25" s="135"/>
      <c r="V25" s="135"/>
      <c r="W25" s="135"/>
      <c r="X25" s="135"/>
    </row>
    <row r="26" spans="2:24" s="24" customFormat="1" x14ac:dyDescent="0.25">
      <c r="B26" s="36" t="s">
        <v>108</v>
      </c>
      <c r="C26" s="42">
        <v>1.91</v>
      </c>
      <c r="D26" s="78">
        <v>9.6000000000000002E-2</v>
      </c>
      <c r="E26" s="43">
        <f>SQRT(C26^2+D26^2)</f>
        <v>1.9124110436828166</v>
      </c>
      <c r="F26" s="42">
        <f>+C26*Q26/1000</f>
        <v>0</v>
      </c>
      <c r="G26" s="78">
        <f>+Q26*D26/1000</f>
        <v>0</v>
      </c>
      <c r="H26" s="43"/>
      <c r="I26" s="103">
        <v>78</v>
      </c>
      <c r="J26" s="113">
        <f t="shared" ref="J26:P26" si="6">IF(J$14&lt;=$I26+3,+$Q26,"X")</f>
        <v>0</v>
      </c>
      <c r="K26" s="114">
        <f t="shared" si="6"/>
        <v>0</v>
      </c>
      <c r="L26" s="114" t="str">
        <f t="shared" si="6"/>
        <v>X</v>
      </c>
      <c r="M26" s="114" t="str">
        <f t="shared" si="6"/>
        <v>X</v>
      </c>
      <c r="N26" s="114" t="str">
        <f t="shared" si="6"/>
        <v>X</v>
      </c>
      <c r="O26" s="114" t="str">
        <f t="shared" si="6"/>
        <v>X</v>
      </c>
      <c r="P26" s="115" t="str">
        <f t="shared" si="6"/>
        <v>X</v>
      </c>
      <c r="Q26" s="73"/>
      <c r="R26" s="44" t="s">
        <v>108</v>
      </c>
      <c r="T26" s="135"/>
      <c r="U26" s="135"/>
      <c r="V26" s="135"/>
      <c r="W26" s="135"/>
      <c r="X26" s="135"/>
    </row>
    <row r="27" spans="2:24" s="24" customFormat="1" x14ac:dyDescent="0.25">
      <c r="B27" s="36"/>
      <c r="C27" s="42"/>
      <c r="D27" s="78"/>
      <c r="E27" s="43"/>
      <c r="F27" s="42"/>
      <c r="G27" s="78"/>
      <c r="H27" s="43"/>
      <c r="I27" s="103"/>
      <c r="J27" s="113"/>
      <c r="K27" s="114"/>
      <c r="L27" s="116"/>
      <c r="M27" s="116"/>
      <c r="N27" s="116"/>
      <c r="O27" s="116"/>
      <c r="P27" s="117"/>
      <c r="Q27" s="73"/>
      <c r="R27" s="44"/>
      <c r="T27" s="135"/>
      <c r="U27" s="135"/>
      <c r="V27" s="135"/>
      <c r="W27" s="135"/>
      <c r="X27" s="135"/>
    </row>
    <row r="28" spans="2:24" s="24" customFormat="1" x14ac:dyDescent="0.25">
      <c r="B28" s="36" t="s">
        <v>109</v>
      </c>
      <c r="C28" s="42">
        <v>0.107</v>
      </c>
      <c r="D28" s="78">
        <v>6.8000000000000005E-2</v>
      </c>
      <c r="E28" s="43">
        <f t="shared" ref="E28:E36" si="7">SQRT(C28^2+D28^2)</f>
        <v>0.12677933585565118</v>
      </c>
      <c r="F28" s="42">
        <f t="shared" ref="F28:F36" si="8">+C28*Q28/1000</f>
        <v>0</v>
      </c>
      <c r="G28" s="78">
        <f t="shared" ref="G28:G36" si="9">+Q28*D28/1000</f>
        <v>0</v>
      </c>
      <c r="H28" s="43"/>
      <c r="I28" s="103">
        <v>393</v>
      </c>
      <c r="J28" s="113">
        <f>IF(J$14&lt;=$I28+3,+$Q28,"X")</f>
        <v>0</v>
      </c>
      <c r="K28" s="114">
        <f t="shared" ref="K28:P36" si="10">IF(K$14&lt;=$I28+3,+$Q28,"X")</f>
        <v>0</v>
      </c>
      <c r="L28" s="114">
        <f t="shared" si="10"/>
        <v>0</v>
      </c>
      <c r="M28" s="114">
        <f t="shared" si="10"/>
        <v>0</v>
      </c>
      <c r="N28" s="114">
        <f t="shared" si="10"/>
        <v>0</v>
      </c>
      <c r="O28" s="114">
        <f t="shared" si="10"/>
        <v>0</v>
      </c>
      <c r="P28" s="115">
        <f t="shared" si="10"/>
        <v>0</v>
      </c>
      <c r="Q28" s="73"/>
      <c r="R28" s="44" t="s">
        <v>109</v>
      </c>
      <c r="T28" s="135"/>
      <c r="U28" s="135"/>
      <c r="V28" s="135"/>
      <c r="W28" s="135"/>
      <c r="X28" s="135"/>
    </row>
    <row r="29" spans="2:24" s="24" customFormat="1" x14ac:dyDescent="0.25">
      <c r="B29" s="36" t="s">
        <v>110</v>
      </c>
      <c r="C29" s="42">
        <v>0.125</v>
      </c>
      <c r="D29" s="78">
        <v>6.8000000000000005E-2</v>
      </c>
      <c r="E29" s="43">
        <f t="shared" si="7"/>
        <v>0.14229898102235308</v>
      </c>
      <c r="F29" s="42">
        <f t="shared" si="8"/>
        <v>0</v>
      </c>
      <c r="G29" s="78">
        <f t="shared" si="9"/>
        <v>0</v>
      </c>
      <c r="H29" s="43"/>
      <c r="I29" s="103">
        <v>348</v>
      </c>
      <c r="J29" s="113">
        <f t="shared" ref="J29:J36" si="11">IF(J$14&lt;=$I29+3,+$Q29,"X")</f>
        <v>0</v>
      </c>
      <c r="K29" s="114">
        <f t="shared" si="10"/>
        <v>0</v>
      </c>
      <c r="L29" s="114">
        <f t="shared" si="10"/>
        <v>0</v>
      </c>
      <c r="M29" s="114">
        <f t="shared" si="10"/>
        <v>0</v>
      </c>
      <c r="N29" s="114">
        <f t="shared" si="10"/>
        <v>0</v>
      </c>
      <c r="O29" s="114">
        <f t="shared" si="10"/>
        <v>0</v>
      </c>
      <c r="P29" s="115">
        <f t="shared" si="10"/>
        <v>0</v>
      </c>
      <c r="Q29" s="73"/>
      <c r="R29" s="44" t="s">
        <v>110</v>
      </c>
      <c r="T29" s="135"/>
      <c r="U29" s="135"/>
      <c r="V29" s="135"/>
      <c r="W29" s="135"/>
      <c r="X29" s="135"/>
    </row>
    <row r="30" spans="2:24" s="24" customFormat="1" x14ac:dyDescent="0.25">
      <c r="B30" s="36" t="s">
        <v>111</v>
      </c>
      <c r="C30" s="42">
        <v>0.152</v>
      </c>
      <c r="D30" s="78">
        <v>6.9000000000000006E-2</v>
      </c>
      <c r="E30" s="43">
        <v>0.1669281282468596</v>
      </c>
      <c r="F30" s="42">
        <f t="shared" si="8"/>
        <v>0</v>
      </c>
      <c r="G30" s="78">
        <f t="shared" si="9"/>
        <v>0</v>
      </c>
      <c r="H30" s="43"/>
      <c r="I30" s="103">
        <v>307</v>
      </c>
      <c r="J30" s="113">
        <f t="shared" si="11"/>
        <v>0</v>
      </c>
      <c r="K30" s="114">
        <f t="shared" si="10"/>
        <v>0</v>
      </c>
      <c r="L30" s="114">
        <f t="shared" si="10"/>
        <v>0</v>
      </c>
      <c r="M30" s="114">
        <f t="shared" si="10"/>
        <v>0</v>
      </c>
      <c r="N30" s="114">
        <f t="shared" si="10"/>
        <v>0</v>
      </c>
      <c r="O30" s="114">
        <f t="shared" si="10"/>
        <v>0</v>
      </c>
      <c r="P30" s="115">
        <f t="shared" si="10"/>
        <v>0</v>
      </c>
      <c r="Q30" s="73"/>
      <c r="R30" s="44" t="s">
        <v>111</v>
      </c>
      <c r="T30" s="135"/>
      <c r="U30" s="135"/>
      <c r="V30" s="135"/>
      <c r="W30" s="135"/>
      <c r="X30" s="135"/>
    </row>
    <row r="31" spans="2:24" s="24" customFormat="1" x14ac:dyDescent="0.25">
      <c r="B31" s="36" t="s">
        <v>112</v>
      </c>
      <c r="C31" s="42">
        <v>0.19400000000000001</v>
      </c>
      <c r="D31" s="78">
        <v>6.9000000000000006E-2</v>
      </c>
      <c r="E31" s="43">
        <f t="shared" si="7"/>
        <v>0.20590531804691203</v>
      </c>
      <c r="F31" s="42">
        <f t="shared" si="8"/>
        <v>0</v>
      </c>
      <c r="G31" s="78">
        <f t="shared" si="9"/>
        <v>0</v>
      </c>
      <c r="H31" s="43"/>
      <c r="I31" s="103">
        <v>272</v>
      </c>
      <c r="J31" s="113">
        <f t="shared" si="11"/>
        <v>0</v>
      </c>
      <c r="K31" s="114">
        <f t="shared" si="10"/>
        <v>0</v>
      </c>
      <c r="L31" s="114">
        <f t="shared" si="10"/>
        <v>0</v>
      </c>
      <c r="M31" s="114">
        <f t="shared" si="10"/>
        <v>0</v>
      </c>
      <c r="N31" s="114">
        <f t="shared" si="10"/>
        <v>0</v>
      </c>
      <c r="O31" s="114">
        <f t="shared" si="10"/>
        <v>0</v>
      </c>
      <c r="P31" s="115">
        <f t="shared" si="10"/>
        <v>0</v>
      </c>
      <c r="Q31" s="73"/>
      <c r="R31" s="44" t="s">
        <v>112</v>
      </c>
      <c r="T31" s="135"/>
      <c r="U31" s="135"/>
      <c r="V31" s="135"/>
      <c r="W31" s="135"/>
      <c r="X31" s="135"/>
    </row>
    <row r="32" spans="2:24" s="24" customFormat="1" x14ac:dyDescent="0.25">
      <c r="B32" s="36" t="s">
        <v>113</v>
      </c>
      <c r="C32" s="42">
        <v>0.26800000000000002</v>
      </c>
      <c r="D32" s="78">
        <v>7.1999999999999995E-2</v>
      </c>
      <c r="E32" s="43">
        <f t="shared" si="7"/>
        <v>0.27750315313523916</v>
      </c>
      <c r="F32" s="42">
        <f t="shared" si="8"/>
        <v>0</v>
      </c>
      <c r="G32" s="78">
        <f t="shared" si="9"/>
        <v>0</v>
      </c>
      <c r="H32" s="43"/>
      <c r="I32" s="103">
        <v>227</v>
      </c>
      <c r="J32" s="113">
        <f t="shared" si="11"/>
        <v>0</v>
      </c>
      <c r="K32" s="114">
        <f t="shared" si="10"/>
        <v>0</v>
      </c>
      <c r="L32" s="114">
        <f t="shared" si="10"/>
        <v>0</v>
      </c>
      <c r="M32" s="114">
        <f t="shared" si="10"/>
        <v>0</v>
      </c>
      <c r="N32" s="114">
        <f t="shared" si="10"/>
        <v>0</v>
      </c>
      <c r="O32" s="114">
        <f t="shared" si="10"/>
        <v>0</v>
      </c>
      <c r="P32" s="115" t="str">
        <f t="shared" si="10"/>
        <v>X</v>
      </c>
      <c r="Q32" s="73"/>
      <c r="R32" s="44" t="s">
        <v>113</v>
      </c>
      <c r="T32" s="135"/>
      <c r="U32" s="135"/>
      <c r="V32" s="135"/>
      <c r="W32" s="135"/>
      <c r="X32" s="135"/>
    </row>
    <row r="33" spans="2:24" s="24" customFormat="1" x14ac:dyDescent="0.25">
      <c r="B33" s="36" t="s">
        <v>114</v>
      </c>
      <c r="C33" s="42">
        <v>0.38700000000000001</v>
      </c>
      <c r="D33" s="78">
        <v>8.5000000000000006E-2</v>
      </c>
      <c r="E33" s="43">
        <f t="shared" si="7"/>
        <v>0.39622468373386333</v>
      </c>
      <c r="F33" s="42">
        <f t="shared" si="8"/>
        <v>0</v>
      </c>
      <c r="G33" s="78">
        <f t="shared" si="9"/>
        <v>0</v>
      </c>
      <c r="H33" s="43"/>
      <c r="I33" s="103">
        <v>182</v>
      </c>
      <c r="J33" s="113">
        <f t="shared" si="11"/>
        <v>0</v>
      </c>
      <c r="K33" s="114">
        <f t="shared" si="10"/>
        <v>0</v>
      </c>
      <c r="L33" s="114">
        <f t="shared" si="10"/>
        <v>0</v>
      </c>
      <c r="M33" s="114">
        <f t="shared" si="10"/>
        <v>0</v>
      </c>
      <c r="N33" s="114">
        <f t="shared" si="10"/>
        <v>0</v>
      </c>
      <c r="O33" s="114" t="str">
        <f t="shared" si="10"/>
        <v>X</v>
      </c>
      <c r="P33" s="115" t="str">
        <f t="shared" si="10"/>
        <v>X</v>
      </c>
      <c r="Q33" s="73"/>
      <c r="R33" s="44" t="s">
        <v>114</v>
      </c>
      <c r="T33" s="135"/>
      <c r="U33" s="135"/>
      <c r="V33" s="135"/>
      <c r="W33" s="135"/>
      <c r="X33" s="135"/>
    </row>
    <row r="34" spans="2:24" s="24" customFormat="1" x14ac:dyDescent="0.25">
      <c r="B34" s="36" t="s">
        <v>115</v>
      </c>
      <c r="C34" s="42">
        <v>0.52400000000000002</v>
      </c>
      <c r="D34" s="78">
        <v>0.1</v>
      </c>
      <c r="E34" s="43">
        <f t="shared" si="7"/>
        <v>0.53345665240954676</v>
      </c>
      <c r="F34" s="42">
        <f t="shared" si="8"/>
        <v>0</v>
      </c>
      <c r="G34" s="78">
        <f t="shared" si="9"/>
        <v>0</v>
      </c>
      <c r="H34" s="43"/>
      <c r="I34" s="103">
        <v>154</v>
      </c>
      <c r="J34" s="113">
        <f t="shared" si="11"/>
        <v>0</v>
      </c>
      <c r="K34" s="114">
        <f t="shared" si="10"/>
        <v>0</v>
      </c>
      <c r="L34" s="114">
        <f t="shared" si="10"/>
        <v>0</v>
      </c>
      <c r="M34" s="114">
        <f t="shared" si="10"/>
        <v>0</v>
      </c>
      <c r="N34" s="114" t="str">
        <f t="shared" si="10"/>
        <v>X</v>
      </c>
      <c r="O34" s="114" t="str">
        <f t="shared" si="10"/>
        <v>X</v>
      </c>
      <c r="P34" s="115" t="str">
        <f t="shared" si="10"/>
        <v>X</v>
      </c>
      <c r="Q34" s="73"/>
      <c r="R34" s="44" t="s">
        <v>115</v>
      </c>
      <c r="T34" s="135"/>
      <c r="U34" s="135"/>
      <c r="V34" s="135"/>
      <c r="W34" s="135"/>
      <c r="X34" s="135"/>
    </row>
    <row r="35" spans="2:24" s="24" customFormat="1" x14ac:dyDescent="0.25">
      <c r="B35" s="36" t="s">
        <v>116</v>
      </c>
      <c r="C35" s="42">
        <v>0.72699999999999998</v>
      </c>
      <c r="D35" s="78">
        <v>9.4E-2</v>
      </c>
      <c r="E35" s="43">
        <f t="shared" si="7"/>
        <v>0.73305183991311273</v>
      </c>
      <c r="F35" s="42">
        <f t="shared" si="8"/>
        <v>0</v>
      </c>
      <c r="G35" s="78">
        <f t="shared" si="9"/>
        <v>0</v>
      </c>
      <c r="H35" s="43"/>
      <c r="I35" s="103">
        <v>128</v>
      </c>
      <c r="J35" s="113">
        <f t="shared" si="11"/>
        <v>0</v>
      </c>
      <c r="K35" s="114">
        <f t="shared" si="10"/>
        <v>0</v>
      </c>
      <c r="L35" s="114">
        <f t="shared" si="10"/>
        <v>0</v>
      </c>
      <c r="M35" s="114">
        <f t="shared" si="10"/>
        <v>0</v>
      </c>
      <c r="N35" s="114" t="str">
        <f t="shared" si="10"/>
        <v>X</v>
      </c>
      <c r="O35" s="114" t="str">
        <f t="shared" si="10"/>
        <v>X</v>
      </c>
      <c r="P35" s="115" t="str">
        <f t="shared" si="10"/>
        <v>X</v>
      </c>
      <c r="Q35" s="73"/>
      <c r="R35" s="44" t="s">
        <v>116</v>
      </c>
      <c r="T35" s="135"/>
      <c r="U35" s="135"/>
      <c r="V35" s="135"/>
      <c r="W35" s="135"/>
      <c r="X35" s="135"/>
    </row>
    <row r="36" spans="2:24" s="24" customFormat="1" x14ac:dyDescent="0.25">
      <c r="B36" s="45" t="s">
        <v>117</v>
      </c>
      <c r="C36" s="46">
        <v>1.1499999999999999</v>
      </c>
      <c r="D36" s="47">
        <v>9.7000000000000003E-2</v>
      </c>
      <c r="E36" s="48">
        <f t="shared" si="7"/>
        <v>1.1540836191541755</v>
      </c>
      <c r="F36" s="46">
        <f t="shared" si="8"/>
        <v>0</v>
      </c>
      <c r="G36" s="47">
        <f t="shared" si="9"/>
        <v>0</v>
      </c>
      <c r="H36" s="48"/>
      <c r="I36" s="104">
        <v>99</v>
      </c>
      <c r="J36" s="118">
        <f t="shared" si="11"/>
        <v>0</v>
      </c>
      <c r="K36" s="119">
        <f t="shared" si="10"/>
        <v>0</v>
      </c>
      <c r="L36" s="119">
        <f t="shared" si="10"/>
        <v>0</v>
      </c>
      <c r="M36" s="119" t="str">
        <f t="shared" si="10"/>
        <v>X</v>
      </c>
      <c r="N36" s="119" t="str">
        <f t="shared" si="10"/>
        <v>X</v>
      </c>
      <c r="O36" s="119" t="str">
        <f t="shared" si="10"/>
        <v>X</v>
      </c>
      <c r="P36" s="120" t="str">
        <f t="shared" si="10"/>
        <v>X</v>
      </c>
      <c r="Q36" s="74"/>
      <c r="R36" s="49" t="s">
        <v>117</v>
      </c>
      <c r="T36" s="135"/>
      <c r="U36" s="135"/>
      <c r="V36" s="135"/>
      <c r="W36" s="135"/>
      <c r="X36" s="135"/>
    </row>
    <row r="37" spans="2:24" x14ac:dyDescent="0.25">
      <c r="B37" s="50"/>
      <c r="I37" s="79"/>
      <c r="J37" s="3"/>
      <c r="K37" s="3"/>
      <c r="L37" s="3"/>
      <c r="M37" s="3"/>
      <c r="N37" s="3"/>
      <c r="O37" s="3"/>
      <c r="P37" s="109"/>
      <c r="R37" s="44"/>
      <c r="T37" s="136"/>
      <c r="U37" s="136"/>
      <c r="V37" s="136"/>
      <c r="W37" s="136"/>
      <c r="X37" s="136"/>
    </row>
    <row r="38" spans="2:24" x14ac:dyDescent="0.25">
      <c r="B38" s="51" t="s">
        <v>118</v>
      </c>
      <c r="C38" s="80"/>
      <c r="D38" s="80"/>
      <c r="E38" s="80"/>
      <c r="F38" s="81">
        <f>SUM(F18:F37)</f>
        <v>0</v>
      </c>
      <c r="G38" s="81">
        <f>SUM(G18:G37)</f>
        <v>0</v>
      </c>
      <c r="H38" s="81">
        <f>SQRT(F38^2+G38^2)</f>
        <v>0</v>
      </c>
      <c r="I38" s="79"/>
      <c r="J38" s="3" t="str">
        <f t="shared" ref="J38:P39" si="12">IF($H$38&lt;=J16,"OK","niet OK")</f>
        <v>OK</v>
      </c>
      <c r="K38" s="3" t="str">
        <f t="shared" si="12"/>
        <v>OK</v>
      </c>
      <c r="L38" s="3" t="str">
        <f t="shared" si="12"/>
        <v>OK</v>
      </c>
      <c r="M38" s="3" t="str">
        <f t="shared" si="12"/>
        <v>OK</v>
      </c>
      <c r="N38" s="3" t="str">
        <f t="shared" si="12"/>
        <v>OK</v>
      </c>
      <c r="O38" s="3" t="str">
        <f t="shared" si="12"/>
        <v>OK</v>
      </c>
      <c r="P38" s="3" t="str">
        <f t="shared" si="12"/>
        <v>OK</v>
      </c>
      <c r="Q38" s="68" t="s">
        <v>119</v>
      </c>
      <c r="R38" s="52"/>
      <c r="T38" s="136"/>
      <c r="U38" s="136"/>
      <c r="V38" s="136"/>
      <c r="W38" s="136"/>
      <c r="X38" s="136"/>
    </row>
    <row r="39" spans="2:24" x14ac:dyDescent="0.25">
      <c r="B39" s="50"/>
      <c r="C39"/>
      <c r="D39"/>
      <c r="E39"/>
      <c r="F39"/>
      <c r="G39"/>
      <c r="H39"/>
      <c r="I39" s="79"/>
      <c r="J39" s="3" t="str">
        <f t="shared" si="12"/>
        <v>OK</v>
      </c>
      <c r="K39" s="3" t="str">
        <f t="shared" si="12"/>
        <v>OK</v>
      </c>
      <c r="L39" s="3" t="str">
        <f t="shared" si="12"/>
        <v>OK</v>
      </c>
      <c r="M39" s="3" t="str">
        <f t="shared" si="12"/>
        <v>OK</v>
      </c>
      <c r="N39" s="3" t="str">
        <f t="shared" si="12"/>
        <v>OK</v>
      </c>
      <c r="O39" s="3" t="str">
        <f t="shared" si="12"/>
        <v>OK</v>
      </c>
      <c r="P39" s="109" t="str">
        <f t="shared" si="12"/>
        <v>OK</v>
      </c>
      <c r="Q39" s="68" t="s">
        <v>120</v>
      </c>
      <c r="R39" s="52"/>
    </row>
    <row r="40" spans="2:24" x14ac:dyDescent="0.25">
      <c r="B40" s="50"/>
      <c r="C40" s="82"/>
      <c r="D40" s="82"/>
      <c r="E40" s="78"/>
      <c r="F40" s="78"/>
      <c r="G40" s="78"/>
      <c r="H40" s="78"/>
      <c r="I40" s="79"/>
      <c r="J40" s="3" t="str">
        <f t="shared" ref="J40:O40" si="13">IF(AND(J47="OK",J48="OK",J49="OK",J50="OK",J51="OK",J52="OK",J53="OK",J54="OK",J55="OK",J56="OK",J57="OK",J58="OK",J59="OK",J60="OK",J61="OK",J62="OK",J63="OK"),"OK","niet OK")</f>
        <v>OK</v>
      </c>
      <c r="K40" s="3" t="str">
        <f t="shared" si="13"/>
        <v>OK</v>
      </c>
      <c r="L40" s="3" t="str">
        <f t="shared" si="13"/>
        <v>OK</v>
      </c>
      <c r="M40" s="3" t="str">
        <f t="shared" si="13"/>
        <v>OK</v>
      </c>
      <c r="N40" s="3" t="str">
        <f t="shared" si="13"/>
        <v>OK</v>
      </c>
      <c r="O40" s="3" t="str">
        <f t="shared" si="13"/>
        <v>OK</v>
      </c>
      <c r="P40" s="109" t="str">
        <f t="shared" ref="P40" si="14">IF(AND(P47="OK",P48="OK",P49="OK",P50="OK",P51="OK",P52="OK",P53="OK",P54="OK",P55="OK",P56="OK",P57="OK",P58="OK",P59="OK",P60="OK",P61="OK",P62="OK",P63="OK"),"OK","niet OK")</f>
        <v>OK</v>
      </c>
      <c r="Q40" s="69" t="s">
        <v>121</v>
      </c>
      <c r="R40" s="53"/>
    </row>
    <row r="41" spans="2:24" ht="18.75" x14ac:dyDescent="0.3">
      <c r="B41" s="50"/>
      <c r="C41" s="82"/>
      <c r="D41" s="82"/>
      <c r="E41" s="78"/>
      <c r="F41" s="78"/>
      <c r="G41" s="78"/>
      <c r="H41" s="78"/>
      <c r="I41" s="79"/>
      <c r="J41" s="10" t="str">
        <f>IF(AND(J38="OK",J40="OK"),"JA","NEE")</f>
        <v>JA</v>
      </c>
      <c r="K41" s="10" t="str">
        <f t="shared" ref="K41:P41" si="15">IF(AND(K38="OK",K40="OK"),"JA","NEE")</f>
        <v>JA</v>
      </c>
      <c r="L41" s="10" t="str">
        <f t="shared" si="15"/>
        <v>JA</v>
      </c>
      <c r="M41" s="10" t="str">
        <f t="shared" si="15"/>
        <v>JA</v>
      </c>
      <c r="N41" s="10" t="str">
        <f t="shared" si="15"/>
        <v>JA</v>
      </c>
      <c r="O41" s="10" t="str">
        <f t="shared" si="15"/>
        <v>JA</v>
      </c>
      <c r="P41" s="10" t="str">
        <f t="shared" si="15"/>
        <v>JA</v>
      </c>
      <c r="Q41" s="71" t="s">
        <v>122</v>
      </c>
      <c r="R41" s="70"/>
    </row>
    <row r="42" spans="2:24" ht="19.5" thickBot="1" x14ac:dyDescent="0.35">
      <c r="B42" s="54"/>
      <c r="C42" s="55"/>
      <c r="D42" s="55"/>
      <c r="E42" s="55"/>
      <c r="F42" s="55"/>
      <c r="G42" s="55"/>
      <c r="H42" s="55"/>
      <c r="I42" s="83"/>
      <c r="J42" s="121" t="str">
        <f>IF(AND(J39="OK",J40="OK"),"JA","NEE")</f>
        <v>JA</v>
      </c>
      <c r="K42" s="121" t="str">
        <f t="shared" ref="K42:P42" si="16">IF(AND(K39="OK",K40="OK"),"JA","NEE")</f>
        <v>JA</v>
      </c>
      <c r="L42" s="121" t="str">
        <f t="shared" si="16"/>
        <v>JA</v>
      </c>
      <c r="M42" s="121" t="str">
        <f t="shared" si="16"/>
        <v>JA</v>
      </c>
      <c r="N42" s="121" t="str">
        <f t="shared" si="16"/>
        <v>JA</v>
      </c>
      <c r="O42" s="121" t="str">
        <f t="shared" si="16"/>
        <v>JA</v>
      </c>
      <c r="P42" s="121" t="str">
        <f t="shared" si="16"/>
        <v>JA</v>
      </c>
      <c r="Q42" s="72" t="s">
        <v>123</v>
      </c>
      <c r="R42" s="56"/>
    </row>
    <row r="43" spans="2:24" x14ac:dyDescent="0.25">
      <c r="J43" s="57"/>
      <c r="K43" s="57"/>
      <c r="L43" s="57"/>
      <c r="M43" s="57"/>
      <c r="N43" s="57"/>
      <c r="O43" s="57"/>
      <c r="P43" s="57"/>
      <c r="Q43" s="57"/>
      <c r="R43" s="57"/>
    </row>
    <row r="44" spans="2:24" x14ac:dyDescent="0.25">
      <c r="J44" s="57"/>
      <c r="K44" s="57"/>
      <c r="L44" s="57"/>
      <c r="M44" s="57"/>
      <c r="N44" s="57"/>
      <c r="O44" s="57"/>
      <c r="P44" s="57"/>
      <c r="Q44" s="57"/>
      <c r="R44" s="57"/>
    </row>
    <row r="45" spans="2:24" hidden="1" x14ac:dyDescent="0.25">
      <c r="J45" s="57"/>
      <c r="K45" s="57"/>
      <c r="L45" s="57"/>
      <c r="M45" s="57"/>
      <c r="N45" s="57"/>
      <c r="O45" s="57"/>
      <c r="P45" s="57"/>
      <c r="Q45" s="57"/>
      <c r="R45" s="57"/>
    </row>
    <row r="46" spans="2:24" hidden="1" x14ac:dyDescent="0.25">
      <c r="J46" s="58"/>
      <c r="K46" s="58"/>
      <c r="L46" s="58" t="s">
        <v>124</v>
      </c>
      <c r="M46" s="58"/>
      <c r="N46" s="58"/>
      <c r="O46" s="58"/>
      <c r="P46" s="58"/>
    </row>
    <row r="47" spans="2:24" hidden="1" x14ac:dyDescent="0.25">
      <c r="J47" s="59" t="str">
        <f t="shared" ref="J47:P54" si="17">IF(OR(J18=$Q18,AND($Q18=0,J18="X")),"OK","niet OK")</f>
        <v>OK</v>
      </c>
      <c r="K47" s="59" t="str">
        <f t="shared" si="17"/>
        <v>OK</v>
      </c>
      <c r="L47" s="59" t="str">
        <f t="shared" si="17"/>
        <v>OK</v>
      </c>
      <c r="M47" s="59" t="str">
        <f t="shared" si="17"/>
        <v>OK</v>
      </c>
      <c r="N47" s="59" t="str">
        <f t="shared" si="17"/>
        <v>OK</v>
      </c>
      <c r="O47" s="59" t="str">
        <f t="shared" si="17"/>
        <v>OK</v>
      </c>
      <c r="P47" s="59" t="str">
        <f t="shared" si="17"/>
        <v>OK</v>
      </c>
    </row>
    <row r="48" spans="2:24" hidden="1" x14ac:dyDescent="0.25">
      <c r="J48" s="59" t="str">
        <f t="shared" si="17"/>
        <v>OK</v>
      </c>
      <c r="K48" s="59" t="str">
        <f t="shared" si="17"/>
        <v>OK</v>
      </c>
      <c r="L48" s="59" t="str">
        <f t="shared" si="17"/>
        <v>OK</v>
      </c>
      <c r="M48" s="59" t="str">
        <f t="shared" si="17"/>
        <v>OK</v>
      </c>
      <c r="N48" s="59" t="str">
        <f t="shared" si="17"/>
        <v>OK</v>
      </c>
      <c r="O48" s="59" t="str">
        <f t="shared" si="17"/>
        <v>OK</v>
      </c>
      <c r="P48" s="59" t="str">
        <f t="shared" si="17"/>
        <v>OK</v>
      </c>
    </row>
    <row r="49" spans="10:16" hidden="1" x14ac:dyDescent="0.25">
      <c r="J49" s="59" t="str">
        <f t="shared" si="17"/>
        <v>OK</v>
      </c>
      <c r="K49" s="59" t="str">
        <f t="shared" si="17"/>
        <v>OK</v>
      </c>
      <c r="L49" s="59" t="str">
        <f t="shared" si="17"/>
        <v>OK</v>
      </c>
      <c r="M49" s="59" t="str">
        <f t="shared" si="17"/>
        <v>OK</v>
      </c>
      <c r="N49" s="59" t="str">
        <f t="shared" si="17"/>
        <v>OK</v>
      </c>
      <c r="O49" s="59" t="str">
        <f t="shared" si="17"/>
        <v>OK</v>
      </c>
      <c r="P49" s="59" t="str">
        <f t="shared" si="17"/>
        <v>OK</v>
      </c>
    </row>
    <row r="50" spans="10:16" hidden="1" x14ac:dyDescent="0.25">
      <c r="J50" s="59" t="str">
        <f t="shared" si="17"/>
        <v>OK</v>
      </c>
      <c r="K50" s="59" t="str">
        <f t="shared" si="17"/>
        <v>OK</v>
      </c>
      <c r="L50" s="59" t="str">
        <f t="shared" si="17"/>
        <v>OK</v>
      </c>
      <c r="M50" s="59" t="str">
        <f t="shared" si="17"/>
        <v>OK</v>
      </c>
      <c r="N50" s="59" t="str">
        <f t="shared" si="17"/>
        <v>OK</v>
      </c>
      <c r="O50" s="59" t="str">
        <f t="shared" si="17"/>
        <v>OK</v>
      </c>
      <c r="P50" s="59" t="str">
        <f t="shared" si="17"/>
        <v>OK</v>
      </c>
    </row>
    <row r="51" spans="10:16" hidden="1" x14ac:dyDescent="0.25">
      <c r="J51" s="59" t="str">
        <f t="shared" si="17"/>
        <v>OK</v>
      </c>
      <c r="K51" s="59" t="str">
        <f t="shared" si="17"/>
        <v>OK</v>
      </c>
      <c r="L51" s="59" t="str">
        <f t="shared" si="17"/>
        <v>OK</v>
      </c>
      <c r="M51" s="59" t="str">
        <f t="shared" si="17"/>
        <v>OK</v>
      </c>
      <c r="N51" s="59" t="str">
        <f t="shared" si="17"/>
        <v>OK</v>
      </c>
      <c r="O51" s="59" t="str">
        <f t="shared" si="17"/>
        <v>OK</v>
      </c>
      <c r="P51" s="59" t="str">
        <f t="shared" si="17"/>
        <v>OK</v>
      </c>
    </row>
    <row r="52" spans="10:16" hidden="1" x14ac:dyDescent="0.25">
      <c r="J52" s="59" t="str">
        <f t="shared" si="17"/>
        <v>OK</v>
      </c>
      <c r="K52" s="59" t="str">
        <f t="shared" si="17"/>
        <v>OK</v>
      </c>
      <c r="L52" s="59" t="str">
        <f t="shared" si="17"/>
        <v>OK</v>
      </c>
      <c r="M52" s="59" t="str">
        <f t="shared" si="17"/>
        <v>OK</v>
      </c>
      <c r="N52" s="59" t="str">
        <f t="shared" si="17"/>
        <v>OK</v>
      </c>
      <c r="O52" s="59" t="str">
        <f t="shared" si="17"/>
        <v>OK</v>
      </c>
      <c r="P52" s="59" t="str">
        <f t="shared" si="17"/>
        <v>OK</v>
      </c>
    </row>
    <row r="53" spans="10:16" hidden="1" x14ac:dyDescent="0.25">
      <c r="J53" s="59" t="str">
        <f t="shared" ref="J53:P53" si="18">IF(OR(J24=$Q24,AND($Q24=0,J24="X")),"OK","niet OK")</f>
        <v>OK</v>
      </c>
      <c r="K53" s="59" t="str">
        <f t="shared" si="18"/>
        <v>OK</v>
      </c>
      <c r="L53" s="59" t="str">
        <f t="shared" si="18"/>
        <v>OK</v>
      </c>
      <c r="M53" s="59" t="str">
        <f t="shared" si="18"/>
        <v>OK</v>
      </c>
      <c r="N53" s="59" t="str">
        <f t="shared" si="18"/>
        <v>OK</v>
      </c>
      <c r="O53" s="59" t="str">
        <f t="shared" si="18"/>
        <v>OK</v>
      </c>
      <c r="P53" s="59" t="str">
        <f t="shared" si="18"/>
        <v>OK</v>
      </c>
    </row>
    <row r="54" spans="10:16" hidden="1" x14ac:dyDescent="0.25">
      <c r="J54" s="59" t="str">
        <f t="shared" si="17"/>
        <v>OK</v>
      </c>
      <c r="K54" s="59" t="str">
        <f t="shared" si="17"/>
        <v>OK</v>
      </c>
      <c r="L54" s="59" t="str">
        <f t="shared" si="17"/>
        <v>OK</v>
      </c>
      <c r="M54" s="59" t="str">
        <f t="shared" si="17"/>
        <v>OK</v>
      </c>
      <c r="N54" s="59" t="str">
        <f t="shared" si="17"/>
        <v>OK</v>
      </c>
      <c r="O54" s="59" t="str">
        <f t="shared" si="17"/>
        <v>OK</v>
      </c>
      <c r="P54" s="59" t="str">
        <f t="shared" si="17"/>
        <v>OK</v>
      </c>
    </row>
    <row r="55" spans="10:16" hidden="1" x14ac:dyDescent="0.25">
      <c r="J55" s="59" t="str">
        <f t="shared" ref="J55:P55" si="19">IF(OR(J26=$Q26,AND($Q26=0,J26="X")),"OK","niet OK")</f>
        <v>OK</v>
      </c>
      <c r="K55" s="59" t="str">
        <f t="shared" si="19"/>
        <v>OK</v>
      </c>
      <c r="L55" s="59" t="str">
        <f t="shared" si="19"/>
        <v>OK</v>
      </c>
      <c r="M55" s="59" t="str">
        <f t="shared" si="19"/>
        <v>OK</v>
      </c>
      <c r="N55" s="59" t="str">
        <f t="shared" si="19"/>
        <v>OK</v>
      </c>
      <c r="O55" s="59" t="str">
        <f t="shared" si="19"/>
        <v>OK</v>
      </c>
      <c r="P55" s="59" t="str">
        <f t="shared" si="19"/>
        <v>OK</v>
      </c>
    </row>
    <row r="56" spans="10:16" hidden="1" x14ac:dyDescent="0.25">
      <c r="J56" s="59" t="str">
        <f t="shared" ref="J56:P57" si="20">IF(OR(J28=$Q28,AND($Q28=0,J28="X")),"OK","niet OK")</f>
        <v>OK</v>
      </c>
      <c r="K56" s="59" t="str">
        <f t="shared" si="20"/>
        <v>OK</v>
      </c>
      <c r="L56" s="59" t="str">
        <f t="shared" si="20"/>
        <v>OK</v>
      </c>
      <c r="M56" s="59" t="str">
        <f t="shared" si="20"/>
        <v>OK</v>
      </c>
      <c r="N56" s="59" t="str">
        <f t="shared" si="20"/>
        <v>OK</v>
      </c>
      <c r="O56" s="59" t="str">
        <f t="shared" si="20"/>
        <v>OK</v>
      </c>
      <c r="P56" s="59" t="str">
        <f t="shared" si="20"/>
        <v>OK</v>
      </c>
    </row>
    <row r="57" spans="10:16" hidden="1" x14ac:dyDescent="0.25">
      <c r="J57" s="59" t="str">
        <f t="shared" si="20"/>
        <v>OK</v>
      </c>
      <c r="K57" s="59" t="str">
        <f t="shared" si="20"/>
        <v>OK</v>
      </c>
      <c r="L57" s="59" t="str">
        <f t="shared" si="20"/>
        <v>OK</v>
      </c>
      <c r="M57" s="59" t="str">
        <f t="shared" si="20"/>
        <v>OK</v>
      </c>
      <c r="N57" s="59" t="str">
        <f t="shared" si="20"/>
        <v>OK</v>
      </c>
      <c r="O57" s="59" t="str">
        <f t="shared" si="20"/>
        <v>OK</v>
      </c>
      <c r="P57" s="59" t="str">
        <f t="shared" si="20"/>
        <v>OK</v>
      </c>
    </row>
    <row r="58" spans="10:16" hidden="1" x14ac:dyDescent="0.25">
      <c r="J58" s="59" t="str">
        <f t="shared" ref="J58:P63" si="21">IF(OR(J31=$Q31,AND($Q31=0,J31="X")),"OK","niet OK")</f>
        <v>OK</v>
      </c>
      <c r="K58" s="59" t="str">
        <f t="shared" si="21"/>
        <v>OK</v>
      </c>
      <c r="L58" s="59" t="str">
        <f t="shared" si="21"/>
        <v>OK</v>
      </c>
      <c r="M58" s="59" t="str">
        <f t="shared" si="21"/>
        <v>OK</v>
      </c>
      <c r="N58" s="59" t="str">
        <f t="shared" si="21"/>
        <v>OK</v>
      </c>
      <c r="O58" s="59" t="str">
        <f t="shared" si="21"/>
        <v>OK</v>
      </c>
      <c r="P58" s="59" t="str">
        <f t="shared" si="21"/>
        <v>OK</v>
      </c>
    </row>
    <row r="59" spans="10:16" hidden="1" x14ac:dyDescent="0.25">
      <c r="J59" s="59" t="str">
        <f t="shared" si="21"/>
        <v>OK</v>
      </c>
      <c r="K59" s="59" t="str">
        <f t="shared" si="21"/>
        <v>OK</v>
      </c>
      <c r="L59" s="59" t="str">
        <f t="shared" si="21"/>
        <v>OK</v>
      </c>
      <c r="M59" s="59" t="str">
        <f t="shared" si="21"/>
        <v>OK</v>
      </c>
      <c r="N59" s="59" t="str">
        <f t="shared" si="21"/>
        <v>OK</v>
      </c>
      <c r="O59" s="59" t="str">
        <f t="shared" si="21"/>
        <v>OK</v>
      </c>
      <c r="P59" s="59" t="str">
        <f t="shared" si="21"/>
        <v>OK</v>
      </c>
    </row>
    <row r="60" spans="10:16" hidden="1" x14ac:dyDescent="0.25">
      <c r="J60" s="59" t="str">
        <f t="shared" si="21"/>
        <v>OK</v>
      </c>
      <c r="K60" s="59" t="str">
        <f t="shared" si="21"/>
        <v>OK</v>
      </c>
      <c r="L60" s="59" t="str">
        <f t="shared" si="21"/>
        <v>OK</v>
      </c>
      <c r="M60" s="59" t="str">
        <f t="shared" si="21"/>
        <v>OK</v>
      </c>
      <c r="N60" s="59" t="str">
        <f t="shared" si="21"/>
        <v>OK</v>
      </c>
      <c r="O60" s="59" t="str">
        <f t="shared" si="21"/>
        <v>OK</v>
      </c>
      <c r="P60" s="59" t="str">
        <f t="shared" si="21"/>
        <v>OK</v>
      </c>
    </row>
    <row r="61" spans="10:16" hidden="1" x14ac:dyDescent="0.25">
      <c r="J61" s="59" t="str">
        <f t="shared" si="21"/>
        <v>OK</v>
      </c>
      <c r="K61" s="59" t="str">
        <f t="shared" si="21"/>
        <v>OK</v>
      </c>
      <c r="L61" s="59" t="str">
        <f t="shared" si="21"/>
        <v>OK</v>
      </c>
      <c r="M61" s="59" t="str">
        <f t="shared" si="21"/>
        <v>OK</v>
      </c>
      <c r="N61" s="59" t="str">
        <f t="shared" si="21"/>
        <v>OK</v>
      </c>
      <c r="O61" s="59" t="str">
        <f t="shared" si="21"/>
        <v>OK</v>
      </c>
      <c r="P61" s="59" t="str">
        <f t="shared" si="21"/>
        <v>OK</v>
      </c>
    </row>
    <row r="62" spans="10:16" hidden="1" x14ac:dyDescent="0.25">
      <c r="J62" s="59" t="str">
        <f t="shared" si="21"/>
        <v>OK</v>
      </c>
      <c r="K62" s="59" t="str">
        <f t="shared" si="21"/>
        <v>OK</v>
      </c>
      <c r="L62" s="59" t="str">
        <f t="shared" si="21"/>
        <v>OK</v>
      </c>
      <c r="M62" s="59" t="str">
        <f t="shared" si="21"/>
        <v>OK</v>
      </c>
      <c r="N62" s="59" t="str">
        <f t="shared" si="21"/>
        <v>OK</v>
      </c>
      <c r="O62" s="59" t="str">
        <f t="shared" si="21"/>
        <v>OK</v>
      </c>
      <c r="P62" s="59" t="str">
        <f t="shared" si="21"/>
        <v>OK</v>
      </c>
    </row>
    <row r="63" spans="10:16" hidden="1" x14ac:dyDescent="0.25">
      <c r="J63" s="59" t="str">
        <f t="shared" si="21"/>
        <v>OK</v>
      </c>
      <c r="K63" s="59" t="str">
        <f t="shared" si="21"/>
        <v>OK</v>
      </c>
      <c r="L63" s="59" t="str">
        <f t="shared" si="21"/>
        <v>OK</v>
      </c>
      <c r="M63" s="59" t="str">
        <f t="shared" si="21"/>
        <v>OK</v>
      </c>
      <c r="N63" s="59" t="str">
        <f t="shared" si="21"/>
        <v>OK</v>
      </c>
      <c r="O63" s="59" t="str">
        <f t="shared" si="21"/>
        <v>OK</v>
      </c>
      <c r="P63" s="59" t="str">
        <f t="shared" si="21"/>
        <v>OK</v>
      </c>
    </row>
  </sheetData>
  <protectedRanges>
    <protectedRange algorithmName="SHA-512" hashValue="FkuOLiiU2mjKZgvwGx8E75bKrmCqIjGITea9lnmTbF8YFwSgwmmO0sguAEuD9q85ceVdVlC+ktHNmpwn2QGGzg==" saltValue="cinkr5+j1hImB5wqxc8bTA==" spinCount="100000" sqref="J27:K27 J18:P26 J28:P36" name="te wijzigen"/>
  </protectedRanges>
  <mergeCells count="2">
    <mergeCell ref="C14:E14"/>
    <mergeCell ref="F14:H14"/>
  </mergeCells>
  <conditionalFormatting sqref="J38:P40">
    <cfRule type="cellIs" dxfId="2" priority="3" operator="equal">
      <formula>"niet OK"</formula>
    </cfRule>
  </conditionalFormatting>
  <conditionalFormatting sqref="J41:P45">
    <cfRule type="cellIs" dxfId="1" priority="1" operator="equal">
      <formula>"JA"</formula>
    </cfRule>
  </conditionalFormatting>
  <conditionalFormatting sqref="Q43:R45">
    <cfRule type="cellIs" dxfId="0" priority="2" operator="equal">
      <formula>"JA"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1925-E94E-41F0-80A1-141C71FC5598}">
  <dimension ref="B1:J33"/>
  <sheetViews>
    <sheetView workbookViewId="0">
      <selection activeCell="N8" sqref="N8"/>
    </sheetView>
  </sheetViews>
  <sheetFormatPr defaultRowHeight="15" x14ac:dyDescent="0.25"/>
  <cols>
    <col min="1" max="1" width="3.28515625" customWidth="1"/>
    <col min="2" max="2" width="25.140625" style="27" bestFit="1" customWidth="1"/>
    <col min="3" max="3" width="15.5703125" style="27" customWidth="1"/>
    <col min="4" max="4" width="16" style="27" customWidth="1"/>
    <col min="5" max="5" width="25.140625" style="27" customWidth="1"/>
    <col min="6" max="6" width="24.5703125" style="27" customWidth="1"/>
    <col min="7" max="8" width="7.85546875" style="27" customWidth="1"/>
    <col min="9" max="9" width="9.140625" style="27"/>
  </cols>
  <sheetData>
    <row r="1" spans="2:10" ht="15.75" thickBot="1" x14ac:dyDescent="0.3"/>
    <row r="2" spans="2:10" ht="16.5" thickBot="1" x14ac:dyDescent="0.3">
      <c r="B2" s="132" t="s">
        <v>126</v>
      </c>
      <c r="C2" s="133"/>
      <c r="D2" s="133"/>
      <c r="E2" s="133"/>
      <c r="F2" s="133"/>
      <c r="G2" s="133"/>
      <c r="H2" s="133"/>
      <c r="I2" s="134"/>
    </row>
    <row r="3" spans="2:10" s="12" customFormat="1" ht="15.75" thickBot="1" x14ac:dyDescent="0.3">
      <c r="B3" s="89" t="s">
        <v>127</v>
      </c>
      <c r="C3" s="90" t="s">
        <v>128</v>
      </c>
      <c r="D3" s="90" t="s">
        <v>129</v>
      </c>
      <c r="E3" s="90" t="s">
        <v>130</v>
      </c>
      <c r="F3" s="90" t="s">
        <v>131</v>
      </c>
      <c r="G3" s="90" t="s">
        <v>132</v>
      </c>
      <c r="H3" s="90" t="s">
        <v>133</v>
      </c>
      <c r="I3" s="91" t="s">
        <v>134</v>
      </c>
    </row>
    <row r="4" spans="2:10" x14ac:dyDescent="0.25">
      <c r="B4" s="93" t="s">
        <v>135</v>
      </c>
      <c r="C4" s="94">
        <v>10</v>
      </c>
      <c r="D4" s="94">
        <v>1750</v>
      </c>
      <c r="E4" s="95">
        <v>5.15</v>
      </c>
      <c r="F4" s="95">
        <v>3.47</v>
      </c>
      <c r="G4" s="94">
        <v>75</v>
      </c>
      <c r="H4" s="94">
        <v>48</v>
      </c>
      <c r="I4" s="96" t="s">
        <v>136</v>
      </c>
    </row>
    <row r="5" spans="2:10" x14ac:dyDescent="0.25">
      <c r="B5" s="97" t="s">
        <v>137</v>
      </c>
      <c r="C5" s="85">
        <v>10</v>
      </c>
      <c r="D5" s="85">
        <v>2750</v>
      </c>
      <c r="E5" s="86">
        <v>5.0999999999999996</v>
      </c>
      <c r="F5" s="86">
        <v>3.43</v>
      </c>
      <c r="G5" s="85">
        <v>75</v>
      </c>
      <c r="H5" s="85">
        <v>49</v>
      </c>
      <c r="I5" s="98" t="s">
        <v>136</v>
      </c>
      <c r="J5" s="92"/>
    </row>
    <row r="6" spans="2:10" x14ac:dyDescent="0.25">
      <c r="B6" s="97" t="s">
        <v>138</v>
      </c>
      <c r="C6" s="85">
        <v>10</v>
      </c>
      <c r="D6" s="85">
        <v>2120</v>
      </c>
      <c r="E6" s="86">
        <v>5.0999999999999996</v>
      </c>
      <c r="F6" s="86">
        <v>2.5499999999999998</v>
      </c>
      <c r="G6" s="85">
        <v>116</v>
      </c>
      <c r="H6" s="85">
        <v>49</v>
      </c>
      <c r="I6" s="98" t="s">
        <v>136</v>
      </c>
    </row>
    <row r="7" spans="2:10" x14ac:dyDescent="0.25">
      <c r="B7" s="97" t="s">
        <v>139</v>
      </c>
      <c r="C7" s="85">
        <v>10</v>
      </c>
      <c r="D7" s="85">
        <v>1030</v>
      </c>
      <c r="E7" s="86">
        <v>5.0999999999999996</v>
      </c>
      <c r="F7" s="86">
        <v>3.43</v>
      </c>
      <c r="G7" s="85">
        <v>75</v>
      </c>
      <c r="H7" s="85">
        <v>49</v>
      </c>
      <c r="I7" s="98" t="s">
        <v>136</v>
      </c>
    </row>
    <row r="8" spans="2:10" x14ac:dyDescent="0.25">
      <c r="B8" s="97" t="s">
        <v>140</v>
      </c>
      <c r="C8" s="85">
        <v>10</v>
      </c>
      <c r="D8" s="85">
        <v>760</v>
      </c>
      <c r="E8" s="86">
        <v>5.07</v>
      </c>
      <c r="F8" s="86">
        <v>2.5299999999999998</v>
      </c>
      <c r="G8" s="85">
        <v>116</v>
      </c>
      <c r="H8" s="85">
        <v>48</v>
      </c>
      <c r="I8" s="98" t="s">
        <v>136</v>
      </c>
    </row>
    <row r="9" spans="2:10" x14ac:dyDescent="0.25">
      <c r="B9" s="97" t="s">
        <v>141</v>
      </c>
      <c r="C9" s="85">
        <v>10</v>
      </c>
      <c r="D9" s="85">
        <v>1270</v>
      </c>
      <c r="E9" s="86">
        <v>5.03</v>
      </c>
      <c r="F9" s="86">
        <v>2.52</v>
      </c>
      <c r="G9" s="85">
        <v>116</v>
      </c>
      <c r="H9" s="85">
        <v>49</v>
      </c>
      <c r="I9" s="98" t="s">
        <v>142</v>
      </c>
    </row>
    <row r="10" spans="2:10" x14ac:dyDescent="0.25">
      <c r="B10" s="97" t="s">
        <v>143</v>
      </c>
      <c r="C10" s="85">
        <v>10</v>
      </c>
      <c r="D10" s="85">
        <v>310</v>
      </c>
      <c r="E10" s="86">
        <v>5</v>
      </c>
      <c r="F10" s="86">
        <v>2.5</v>
      </c>
      <c r="G10" s="85">
        <v>116</v>
      </c>
      <c r="H10" s="85">
        <v>49</v>
      </c>
      <c r="I10" s="98" t="s">
        <v>136</v>
      </c>
    </row>
    <row r="11" spans="2:10" x14ac:dyDescent="0.25">
      <c r="B11" s="97" t="s">
        <v>135</v>
      </c>
      <c r="C11" s="85">
        <v>16</v>
      </c>
      <c r="D11" s="85">
        <v>1270</v>
      </c>
      <c r="E11" s="86">
        <v>3.74</v>
      </c>
      <c r="F11" s="86">
        <v>2.52</v>
      </c>
      <c r="G11" s="85">
        <v>75</v>
      </c>
      <c r="H11" s="85">
        <v>66</v>
      </c>
      <c r="I11" s="98" t="s">
        <v>136</v>
      </c>
    </row>
    <row r="12" spans="2:10" x14ac:dyDescent="0.25">
      <c r="B12" s="97" t="s">
        <v>138</v>
      </c>
      <c r="C12" s="85">
        <v>16</v>
      </c>
      <c r="D12" s="85">
        <v>1550</v>
      </c>
      <c r="E12" s="86">
        <v>3.73</v>
      </c>
      <c r="F12" s="86">
        <v>1.87</v>
      </c>
      <c r="G12" s="85">
        <v>116</v>
      </c>
      <c r="H12" s="85">
        <v>66</v>
      </c>
      <c r="I12" s="98" t="s">
        <v>136</v>
      </c>
    </row>
    <row r="13" spans="2:10" x14ac:dyDescent="0.25">
      <c r="B13" s="97" t="s">
        <v>139</v>
      </c>
      <c r="C13" s="85">
        <v>16</v>
      </c>
      <c r="D13" s="85">
        <v>750</v>
      </c>
      <c r="E13" s="86">
        <v>3.72</v>
      </c>
      <c r="F13" s="86">
        <v>2.5</v>
      </c>
      <c r="G13" s="85">
        <v>75</v>
      </c>
      <c r="H13" s="85">
        <v>67</v>
      </c>
      <c r="I13" s="98" t="s">
        <v>136</v>
      </c>
    </row>
    <row r="14" spans="2:10" x14ac:dyDescent="0.25">
      <c r="B14" s="97" t="s">
        <v>137</v>
      </c>
      <c r="C14" s="85">
        <v>16</v>
      </c>
      <c r="D14" s="85">
        <v>2000</v>
      </c>
      <c r="E14" s="86">
        <v>3.71</v>
      </c>
      <c r="F14" s="86">
        <v>2.5</v>
      </c>
      <c r="G14" s="85">
        <v>75</v>
      </c>
      <c r="H14" s="85">
        <v>67</v>
      </c>
      <c r="I14" s="98" t="s">
        <v>144</v>
      </c>
    </row>
    <row r="15" spans="2:10" x14ac:dyDescent="0.25">
      <c r="B15" s="97" t="s">
        <v>140</v>
      </c>
      <c r="C15" s="85">
        <v>16</v>
      </c>
      <c r="D15" s="85">
        <v>550</v>
      </c>
      <c r="E15" s="86">
        <v>3.67</v>
      </c>
      <c r="F15" s="86">
        <v>1.83</v>
      </c>
      <c r="G15" s="85">
        <v>117</v>
      </c>
      <c r="H15" s="85">
        <v>67</v>
      </c>
      <c r="I15" s="98" t="s">
        <v>145</v>
      </c>
    </row>
    <row r="16" spans="2:10" x14ac:dyDescent="0.25">
      <c r="B16" s="97" t="s">
        <v>141</v>
      </c>
      <c r="C16" s="85">
        <v>16</v>
      </c>
      <c r="D16" s="85">
        <v>920</v>
      </c>
      <c r="E16" s="86">
        <v>3.65</v>
      </c>
      <c r="F16" s="86">
        <v>1.82</v>
      </c>
      <c r="G16" s="85">
        <v>117</v>
      </c>
      <c r="H16" s="85">
        <v>67</v>
      </c>
      <c r="I16" s="98" t="s">
        <v>136</v>
      </c>
    </row>
    <row r="17" spans="2:9" x14ac:dyDescent="0.25">
      <c r="B17" s="97" t="s">
        <v>137</v>
      </c>
      <c r="C17" s="85">
        <v>20</v>
      </c>
      <c r="D17" s="85">
        <v>1530</v>
      </c>
      <c r="E17" s="85">
        <v>2.84</v>
      </c>
      <c r="F17" s="87">
        <v>1.91</v>
      </c>
      <c r="G17" s="85">
        <v>75</v>
      </c>
      <c r="H17" s="85">
        <v>88</v>
      </c>
      <c r="I17" s="98" t="s">
        <v>136</v>
      </c>
    </row>
    <row r="18" spans="2:9" x14ac:dyDescent="0.25">
      <c r="B18" s="97" t="s">
        <v>135</v>
      </c>
      <c r="C18" s="85">
        <v>20</v>
      </c>
      <c r="D18" s="85">
        <v>960</v>
      </c>
      <c r="E18" s="86">
        <v>2.83</v>
      </c>
      <c r="F18" s="86">
        <v>1.9</v>
      </c>
      <c r="G18" s="85">
        <v>75</v>
      </c>
      <c r="H18" s="85">
        <v>88</v>
      </c>
      <c r="I18" s="98" t="s">
        <v>136</v>
      </c>
    </row>
    <row r="19" spans="2:9" x14ac:dyDescent="0.25">
      <c r="B19" s="97" t="s">
        <v>139</v>
      </c>
      <c r="C19" s="85">
        <v>20</v>
      </c>
      <c r="D19" s="85">
        <v>570</v>
      </c>
      <c r="E19" s="86">
        <v>2.83</v>
      </c>
      <c r="F19" s="86">
        <v>1.9</v>
      </c>
      <c r="G19" s="85">
        <v>75</v>
      </c>
      <c r="H19" s="85">
        <v>88</v>
      </c>
      <c r="I19" s="98" t="s">
        <v>136</v>
      </c>
    </row>
    <row r="20" spans="2:9" x14ac:dyDescent="0.25">
      <c r="B20" s="97" t="s">
        <v>138</v>
      </c>
      <c r="C20" s="85">
        <v>20</v>
      </c>
      <c r="D20" s="85">
        <v>1170</v>
      </c>
      <c r="E20" s="86">
        <v>2.82</v>
      </c>
      <c r="F20" s="86">
        <v>1.41</v>
      </c>
      <c r="G20" s="85">
        <v>116</v>
      </c>
      <c r="H20" s="85">
        <v>87</v>
      </c>
      <c r="I20" s="98" t="s">
        <v>136</v>
      </c>
    </row>
    <row r="21" spans="2:9" x14ac:dyDescent="0.25">
      <c r="B21" s="97" t="s">
        <v>141</v>
      </c>
      <c r="C21" s="85">
        <v>20</v>
      </c>
      <c r="D21" s="85">
        <v>700</v>
      </c>
      <c r="E21" s="86">
        <v>2.78</v>
      </c>
      <c r="F21" s="86">
        <v>1.39</v>
      </c>
      <c r="G21" s="85">
        <v>117</v>
      </c>
      <c r="H21" s="85">
        <v>87</v>
      </c>
      <c r="I21" s="98" t="s">
        <v>136</v>
      </c>
    </row>
    <row r="22" spans="2:9" x14ac:dyDescent="0.25">
      <c r="B22" s="97" t="s">
        <v>140</v>
      </c>
      <c r="C22" s="85">
        <v>20</v>
      </c>
      <c r="D22" s="85">
        <v>410</v>
      </c>
      <c r="E22" s="86">
        <v>2.74</v>
      </c>
      <c r="F22" s="86">
        <v>1.37</v>
      </c>
      <c r="G22" s="85">
        <v>117</v>
      </c>
      <c r="H22" s="85">
        <v>89</v>
      </c>
      <c r="I22" s="98" t="s">
        <v>142</v>
      </c>
    </row>
    <row r="23" spans="2:9" x14ac:dyDescent="0.25">
      <c r="B23" s="97" t="s">
        <v>137</v>
      </c>
      <c r="C23" s="85">
        <v>25</v>
      </c>
      <c r="D23" s="85">
        <v>1210</v>
      </c>
      <c r="E23" s="85">
        <v>2.25</v>
      </c>
      <c r="F23" s="85">
        <v>1.51</v>
      </c>
      <c r="G23" s="85">
        <v>75</v>
      </c>
      <c r="H23" s="85">
        <v>111</v>
      </c>
      <c r="I23" s="98" t="s">
        <v>136</v>
      </c>
    </row>
    <row r="24" spans="2:9" x14ac:dyDescent="0.25">
      <c r="B24" s="97" t="s">
        <v>135</v>
      </c>
      <c r="C24" s="85">
        <v>25</v>
      </c>
      <c r="D24" s="85">
        <v>760</v>
      </c>
      <c r="E24" s="86">
        <v>2.2400000000000002</v>
      </c>
      <c r="F24" s="86">
        <v>1.51</v>
      </c>
      <c r="G24" s="85">
        <v>75</v>
      </c>
      <c r="H24" s="85">
        <v>111</v>
      </c>
      <c r="I24" s="98" t="s">
        <v>136</v>
      </c>
    </row>
    <row r="25" spans="2:9" x14ac:dyDescent="0.25">
      <c r="B25" s="97" t="s">
        <v>139</v>
      </c>
      <c r="C25" s="85">
        <v>25</v>
      </c>
      <c r="D25" s="85">
        <v>450</v>
      </c>
      <c r="E25" s="86">
        <v>2.2400000000000002</v>
      </c>
      <c r="F25" s="86">
        <v>1.5</v>
      </c>
      <c r="G25" s="85">
        <v>76</v>
      </c>
      <c r="H25" s="85">
        <v>111</v>
      </c>
      <c r="I25" s="98" t="s">
        <v>136</v>
      </c>
    </row>
    <row r="26" spans="2:9" x14ac:dyDescent="0.25">
      <c r="B26" s="97" t="s">
        <v>138</v>
      </c>
      <c r="C26" s="85">
        <v>25</v>
      </c>
      <c r="D26" s="85">
        <v>920</v>
      </c>
      <c r="E26" s="86">
        <v>2.2200000000000002</v>
      </c>
      <c r="F26" s="86">
        <v>1.1100000000000001</v>
      </c>
      <c r="G26" s="85">
        <v>116</v>
      </c>
      <c r="H26" s="85">
        <v>111</v>
      </c>
      <c r="I26" s="98" t="s">
        <v>136</v>
      </c>
    </row>
    <row r="27" spans="2:9" x14ac:dyDescent="0.25">
      <c r="B27" s="97" t="s">
        <v>141</v>
      </c>
      <c r="C27" s="85">
        <v>25</v>
      </c>
      <c r="D27" s="85">
        <v>550</v>
      </c>
      <c r="E27" s="86">
        <v>2.1800000000000002</v>
      </c>
      <c r="F27" s="86">
        <v>1.0900000000000001</v>
      </c>
      <c r="G27" s="85">
        <v>118</v>
      </c>
      <c r="H27" s="85">
        <v>111</v>
      </c>
      <c r="I27" s="98" t="s">
        <v>136</v>
      </c>
    </row>
    <row r="28" spans="2:9" ht="15.75" thickBot="1" x14ac:dyDescent="0.3">
      <c r="B28" s="99" t="s">
        <v>140</v>
      </c>
      <c r="C28" s="100">
        <v>25</v>
      </c>
      <c r="D28" s="100">
        <v>325</v>
      </c>
      <c r="E28" s="101">
        <v>2.17</v>
      </c>
      <c r="F28" s="101">
        <v>1.0900000000000001</v>
      </c>
      <c r="G28" s="100">
        <v>118</v>
      </c>
      <c r="H28" s="100">
        <v>111</v>
      </c>
      <c r="I28" s="102" t="s">
        <v>142</v>
      </c>
    </row>
    <row r="33" spans="5:6" x14ac:dyDescent="0.25">
      <c r="E33" s="88"/>
      <c r="F33" s="88"/>
    </row>
  </sheetData>
  <mergeCells count="1">
    <mergeCell ref="B2:I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BBF638-D409-46A6-8A5F-F83BE5EA4B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AD76E-7AB8-455F-B965-403CB93D8ABA}">
  <ds:schemaRefs>
    <ds:schemaRef ds:uri="http://schemas.microsoft.com/sharepoint/v3/contenttype/forms"/>
  </ds:schemaRefs>
</ds:datastoreItem>
</file>

<file path=customXml/itemProps3.xml><?xml version="1.0" encoding="utf-8"?>
<ds:datastoreItem xmlns:ds="http://schemas.openxmlformats.org/officeDocument/2006/customXml" ds:itemID="{ECD74BE9-5C60-451C-B531-CF3FEAE0996C}">
  <ds:schemaRefs>
    <ds:schemaRef ds:uri="http://schemas.microsoft.com/office/2006/metadata/properties"/>
    <ds:schemaRef ds:uri="http://purl.org/dc/dcmitype/"/>
    <ds:schemaRef ds:uri="be2d626e-6961-4186-8118-9b786d0b957a"/>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purl.org/dc/elements/1.1/"/>
    <ds:schemaRef ds:uri="80a5ce49-ae3b-4e2d-9320-19c5acb9498b"/>
    <ds:schemaRef ds:uri="http://www.w3.org/XML/1998/namespace"/>
  </ds:schemaRefs>
</ds:datastoreItem>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Versie beheer</vt:lpstr>
      <vt:lpstr>Ontwerpstroom_trafo</vt:lpstr>
      <vt:lpstr>Ontwerpstroom_kabel</vt:lpstr>
      <vt:lpstr>Ontwerpstroom_stijgleiding</vt:lpstr>
      <vt:lpstr>Controle_kabel_evenredig</vt:lpstr>
      <vt:lpstr>Controle_kabel_laatste_helft</vt:lpstr>
      <vt:lpstr>max lengte OVL kabels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bij "Ontwerpen met tabellen"</dc:title>
  <dc:subject/>
  <dc:creator>Hemrica, Ytzen</dc:creator>
  <cp:keywords/>
  <dc:description/>
  <cp:lastModifiedBy>Luka Stuurman | Techbase</cp:lastModifiedBy>
  <cp:revision/>
  <dcterms:created xsi:type="dcterms:W3CDTF">2019-02-20T12:23:12Z</dcterms:created>
  <dcterms:modified xsi:type="dcterms:W3CDTF">2026-08-19T07:38:18Z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0x010100912791E6A3D5DA43887C2DB260B05564</vt:lpwstr>
  </property>
  <property fmtid="{D5CDD505-2E9C-101B-9397-08002B2CF9AE}" pid="3" name="Order">
    <vt:r8>11020800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y fmtid="{D5CDD505-2E9C-101B-9397-08002B2CF9AE}" pid="11" name="_dlc_DocIdItemGuid">
    <vt:lpwstr>ec5caf21-2130-4f36-a8f9-9d69581b8755</vt:lpwstr>
  </property>
  <property fmtid="{D5CDD505-2E9C-101B-9397-08002B2CF9AE}" pid="12" name="Afdeling">
    <vt:lpwstr>157;#NET- EN CAPACITEITSMGT LS ＆ MS|0fc86f4c-bd43-4b39-9941-c4c4108e5de8</vt:lpwstr>
  </property>
  <property fmtid="{D5CDD505-2E9C-101B-9397-08002B2CF9AE}" pid="13" name="Vertrouwelijkheidsniveau">
    <vt:lpwstr>32;#Intern|1a4597c7-8657-403e-a80d-ba1e21764213</vt:lpwstr>
  </property>
  <property fmtid="{D5CDD505-2E9C-101B-9397-08002B2CF9AE}" pid="14" name="kb14d46e0a7b48a89df21bde0f8c6db8">
    <vt:lpwstr/>
  </property>
  <property fmtid="{D5CDD505-2E9C-101B-9397-08002B2CF9AE}" pid="15" name="LinkenNaarDEN">
    <vt:lpwstr/>
  </property>
  <property fmtid="{D5CDD505-2E9C-101B-9397-08002B2CF9AE}" pid="16" name="Onderwerp">
    <vt:lpwstr>15;#Beleid|a88cb305-449a-4bb7-be3c-0db84378ade0;#43;#Ontwerp en Aanleg Infra|05424648-9258-44f9-b347-71717db44dce;#42;#Ontwerp en Aanleg Aansluitingen|cd4ba11c-e98a-42cc-aa7f-25b9ab100cec</vt:lpwstr>
  </property>
  <property fmtid="{D5CDD505-2E9C-101B-9397-08002B2CF9AE}" pid="17" name="e5d88dfa1e9045b9864e4fb43105ddfb">
    <vt:lpwstr>Transformatoren|c857c584-878b-4b09-9ee0-7e9ae8d3e7b8;Kabels/lijnen/verbindings- en aftakmaterialen|d4ecab75-5b03-44c1-8375-a5fb2e24732d;Beveiligingen|f1c7f332-3952-4d75-9f8d-4d53afb3c9dd;Installaties (samenstel van)|6898af8f-8be2-4635-98b7-0d4457ccfe94;aansluitingen|1883c202-7497-42b6-883c-e6320616dde9</vt:lpwstr>
  </property>
  <property fmtid="{D5CDD505-2E9C-101B-9397-08002B2CF9AE}" pid="18" name="BestaatUit">
    <vt:lpwstr/>
  </property>
  <property fmtid="{D5CDD505-2E9C-101B-9397-08002B2CF9AE}" pid="19" name="Mutatiesoort">
    <vt:lpwstr>84;#Gewijzigd|f3dc61a3-2652-4f68-beea-dfa9c7427ae0</vt:lpwstr>
  </property>
  <property fmtid="{D5CDD505-2E9C-101B-9397-08002B2CF9AE}" pid="20" name="Proces">
    <vt:lpwstr>13;#Beleid|08b631c3-20b0-4a43-9a0c-f16cdfaff7d3</vt:lpwstr>
  </property>
  <property fmtid="{D5CDD505-2E9C-101B-9397-08002B2CF9AE}" pid="21" name="Componentgroep">
    <vt:lpwstr>68;#Transformatoren|c857c584-878b-4b09-9ee0-7e9ae8d3e7b8;#48;#Kabels/lijnen/verbindings- en aftakmaterialen|d4ecab75-5b03-44c1-8375-a5fb2e24732d;#67;#Beveiligingen|f1c7f332-3952-4d75-9f8d-4d53afb3c9dd;#55;#Installaties (samenstel van)|6898af8f-8be2-4635-98b7-0d4457ccfe94;#190;#aansluitingen|1883c202-7497-42b6-883c-e6320616dde9</vt:lpwstr>
  </property>
  <property fmtid="{D5CDD505-2E9C-101B-9397-08002B2CF9AE}" pid="22" name="Normcommissie">
    <vt:lpwstr/>
  </property>
  <property fmtid="{D5CDD505-2E9C-101B-9397-08002B2CF9AE}" pid="23" name="PublicerenNaar">
    <vt:lpwstr>162;#Gepubliceerd naar Aannemersportaal|a2fff5d2-77bc-4729-9f17-cd3e12ae106e</vt:lpwstr>
  </property>
  <property fmtid="{D5CDD505-2E9C-101B-9397-08002B2CF9AE}" pid="24" name="Discipline">
    <vt:lpwstr>30;#Elektriciteit|d2561944-72c2-413c-9df5-747f3bf7b189</vt:lpwstr>
  </property>
  <property fmtid="{D5CDD505-2E9C-101B-9397-08002B2CF9AE}" pid="25" name="Bestelbaar">
    <vt:bool>false</vt:bool>
  </property>
  <property fmtid="{D5CDD505-2E9C-101B-9397-08002B2CF9AE}" pid="26" name="m2278a6bbcc348c48eb9549eb651ce7a">
    <vt:lpwstr/>
  </property>
  <property fmtid="{D5CDD505-2E9C-101B-9397-08002B2CF9AE}" pid="27" name="Toepassingsgebied">
    <vt:lpwstr/>
  </property>
  <property fmtid="{D5CDD505-2E9C-101B-9397-08002B2CF9AE}" pid="28" name="Doelgroep">
    <vt:lpwstr>79;#(medewerker) Engineer|679bad81-2a89-4cc9-9696-b4315a73b7d8</vt:lpwstr>
  </property>
  <property fmtid="{D5CDD505-2E9C-101B-9397-08002B2CF9AE}" pid="29" name="SoortBeleidsdocument">
    <vt:lpwstr>146;#N.v.t.|3441fe3e-1fb5-4963-b005-d9241ba1abee</vt:lpwstr>
  </property>
  <property fmtid="{D5CDD505-2E9C-101B-9397-08002B2CF9AE}" pid="30" name="m15cd9860a8c4f948c323496c2c85b0d">
    <vt:lpwstr/>
  </property>
  <property fmtid="{D5CDD505-2E9C-101B-9397-08002B2CF9AE}" pid="31" name="Netvlak0">
    <vt:lpwstr>60;#LS|34f96bd0-44a9-4a06-8ca4-582c5766c200</vt:lpwstr>
  </property>
  <property fmtid="{D5CDD505-2E9C-101B-9397-08002B2CF9AE}" pid="32" name="NENConnectMutaties">
    <vt:lpwstr/>
  </property>
  <property fmtid="{D5CDD505-2E9C-101B-9397-08002B2CF9AE}" pid="33" name="ne9ebb55996e405fa5aeb3490bdcd9cf">
    <vt:lpwstr>LS|34f96bd0-44a9-4a06-8ca4-582c5766c200</vt:lpwstr>
  </property>
  <property fmtid="{D5CDD505-2E9C-101B-9397-08002B2CF9AE}" pid="34" name="Goedkeuringsstatus">
    <vt:lpwstr>Approve</vt:lpwstr>
  </property>
  <property fmtid="{D5CDD505-2E9C-101B-9397-08002B2CF9AE}" pid="35" name="l851e569308c4aaab49b8408160d217f">
    <vt:lpwstr>N.v.t.|3441fe3e-1fb5-4963-b005-d9241ba1abee</vt:lpwstr>
  </property>
  <property fmtid="{D5CDD505-2E9C-101B-9397-08002B2CF9AE}" pid="36" name="m5728e99927e43e7958c5bbd920aa092">
    <vt:lpwstr>Elektriciteit|d2561944-72c2-413c-9df5-747f3bf7b189</vt:lpwstr>
  </property>
  <property fmtid="{D5CDD505-2E9C-101B-9397-08002B2CF9AE}" pid="37" name="Gereedschap_x002d_E">
    <vt:lpwstr/>
  </property>
  <property fmtid="{D5CDD505-2E9C-101B-9397-08002B2CF9AE}" pid="38" name="Gereedschap_x002d_G">
    <vt:lpwstr/>
  </property>
  <property fmtid="{D5CDD505-2E9C-101B-9397-08002B2CF9AE}" pid="39" name="TriggerFlow">
    <vt:bool>true</vt:bool>
  </property>
  <property fmtid="{D5CDD505-2E9C-101B-9397-08002B2CF9AE}" pid="40" name="Gereedschap-E">
    <vt:lpwstr/>
  </property>
  <property fmtid="{D5CDD505-2E9C-101B-9397-08002B2CF9AE}" pid="41" name="Gereedschap-G">
    <vt:lpwstr/>
  </property>
  <property fmtid="{D5CDD505-2E9C-101B-9397-08002B2CF9AE}" pid="42" name="AantalDen">
    <vt:lpwstr/>
  </property>
  <property fmtid="{D5CDD505-2E9C-101B-9397-08002B2CF9AE}" pid="43" name="ba5a923f57584846b39267c1f98596ae">
    <vt:lpwstr/>
  </property>
  <property fmtid="{D5CDD505-2E9C-101B-9397-08002B2CF9AE}" pid="44" name="Documentstatus">
    <vt:lpwstr/>
  </property>
  <property fmtid="{D5CDD505-2E9C-101B-9397-08002B2CF9AE}" pid="45" name="Filternaam">
    <vt:lpwstr>Eea-0205.K.xlsx</vt:lpwstr>
  </property>
  <property fmtid="{D5CDD505-2E9C-101B-9397-08002B2CF9AE}" pid="46" name="Nummer">
    <vt:lpwstr/>
  </property>
  <property fmtid="{D5CDD505-2E9C-101B-9397-08002B2CF9AE}" pid="47" name="BeoordelaarNormen">
    <vt:lpwstr/>
  </property>
  <property fmtid="{D5CDD505-2E9C-101B-9397-08002B2CF9AE}" pid="48" name="j74e55614f0b4c229cb45907796095f7">
    <vt:lpwstr/>
  </property>
  <property fmtid="{D5CDD505-2E9C-101B-9397-08002B2CF9AE}" pid="49" name="Documentclassificatie">
    <vt:lpwstr/>
  </property>
  <property fmtid="{D5CDD505-2E9C-101B-9397-08002B2CF9AE}" pid="50" name="SharedWithUsers">
    <vt:lpwstr/>
  </property>
</Properties>
</file>